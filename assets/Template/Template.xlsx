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centralgroup-my.sharepoint.com/personal/thanasak_th_ergotrend_co_th/Documents/PO/Doc Form/"/>
    </mc:Choice>
  </mc:AlternateContent>
  <xr:revisionPtr revIDLastSave="327" documentId="8_{282513D0-30B2-422A-A33A-FF0FF651E2F3}" xr6:coauthVersionLast="47" xr6:coauthVersionMax="47" xr10:uidLastSave="{456E795D-77DA-2645-BF00-07D6C5D05708}"/>
  <bookViews>
    <workbookView xWindow="0" yWindow="680" windowWidth="30240" windowHeight="17340" xr2:uid="{00000000-000D-0000-FFFF-FFFF00000000}"/>
  </bookViews>
  <sheets>
    <sheet name="Stock" sheetId="7" r:id="rId1"/>
    <sheet name="Event" sheetId="9" r:id="rId2"/>
    <sheet name="C.Stock" sheetId="13" r:id="rId3"/>
    <sheet name="C.Demo" sheetId="14" r:id="rId4"/>
    <sheet name="Ref" sheetId="10" state="hidden" r:id="rId5"/>
  </sheets>
  <definedNames>
    <definedName name="_xlnm._FilterDatabase" localSheetId="1" hidden="1">Event!$A$1:$F$27</definedName>
    <definedName name="_xlnm._FilterDatabase" localSheetId="0" hidden="1">Stock!$A$1:$F$27</definedName>
    <definedName name="_xlnm.Print_Area" localSheetId="1">Event!$A$1:$F$30</definedName>
    <definedName name="_xlnm.Print_Area" localSheetId="0">Stock!$A$1:$F$30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9" l="1"/>
  <c r="E27" i="9"/>
  <c r="D27" i="9"/>
  <c r="F27" i="7"/>
  <c r="E27" i="7"/>
  <c r="D27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6" i="14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6" i="13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6" i="14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6" i="13"/>
  <c r="B25" i="9"/>
  <c r="B29" i="13" s="1"/>
  <c r="B26" i="9"/>
  <c r="B30" i="13" s="1"/>
  <c r="B25" i="7"/>
  <c r="B26" i="7"/>
  <c r="B3" i="9"/>
  <c r="B7" i="14" s="1"/>
  <c r="B4" i="9"/>
  <c r="B8" i="14" s="1"/>
  <c r="B5" i="9"/>
  <c r="B9" i="13" s="1"/>
  <c r="B6" i="9"/>
  <c r="B10" i="13" s="1"/>
  <c r="B7" i="9"/>
  <c r="B11" i="13" s="1"/>
  <c r="B8" i="9"/>
  <c r="B12" i="13" s="1"/>
  <c r="B9" i="9"/>
  <c r="B13" i="14" s="1"/>
  <c r="B10" i="9"/>
  <c r="B14" i="14" s="1"/>
  <c r="B11" i="9"/>
  <c r="B15" i="14" s="1"/>
  <c r="B12" i="9"/>
  <c r="B16" i="14" s="1"/>
  <c r="B13" i="9"/>
  <c r="B17" i="14" s="1"/>
  <c r="B14" i="9"/>
  <c r="B18" i="14" s="1"/>
  <c r="B15" i="9"/>
  <c r="B19" i="13" s="1"/>
  <c r="B16" i="9"/>
  <c r="B20" i="13" s="1"/>
  <c r="B17" i="9"/>
  <c r="B21" i="14" s="1"/>
  <c r="B18" i="9"/>
  <c r="B22" i="13" s="1"/>
  <c r="B19" i="9"/>
  <c r="B23" i="14" s="1"/>
  <c r="B20" i="9"/>
  <c r="B24" i="14" s="1"/>
  <c r="B21" i="9"/>
  <c r="B25" i="14" s="1"/>
  <c r="B22" i="9"/>
  <c r="B26" i="13" s="1"/>
  <c r="B23" i="9"/>
  <c r="B27" i="13" s="1"/>
  <c r="B24" i="9"/>
  <c r="B28" i="14" s="1"/>
  <c r="B2" i="9"/>
  <c r="B6" i="14" s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" i="7"/>
  <c r="F2" i="9"/>
  <c r="F2" i="7"/>
  <c r="B21" i="13" l="1"/>
  <c r="B7" i="13"/>
  <c r="B27" i="14"/>
  <c r="B26" i="14"/>
  <c r="B28" i="13"/>
  <c r="B18" i="13"/>
  <c r="B8" i="13"/>
  <c r="B22" i="14"/>
  <c r="B12" i="14"/>
  <c r="B11" i="14"/>
  <c r="B17" i="13"/>
  <c r="B16" i="13"/>
  <c r="B30" i="14"/>
  <c r="B20" i="14"/>
  <c r="B10" i="14"/>
  <c r="B25" i="13"/>
  <c r="B15" i="13"/>
  <c r="B29" i="14"/>
  <c r="B19" i="14"/>
  <c r="B9" i="14"/>
  <c r="B24" i="13"/>
  <c r="B14" i="13"/>
  <c r="B23" i="13"/>
  <c r="B13" i="13"/>
  <c r="B6" i="13"/>
</calcChain>
</file>

<file path=xl/sharedStrings.xml><?xml version="1.0" encoding="utf-8"?>
<sst xmlns="http://schemas.openxmlformats.org/spreadsheetml/2006/main" count="925" uniqueCount="717">
  <si>
    <t>ลำดับ</t>
  </si>
  <si>
    <t>รายการ</t>
  </si>
  <si>
    <t>ตัวโชว์</t>
  </si>
  <si>
    <t>สต็อก</t>
  </si>
  <si>
    <t>รวม</t>
  </si>
  <si>
    <t>รวมทั้งหมด</t>
  </si>
  <si>
    <t>วันที่แจ้งเรื่อง:</t>
  </si>
  <si>
    <t>ลงชื่อ: ธนศักดิ์ (จี๊ป)</t>
  </si>
  <si>
    <t>สถานที่:</t>
  </si>
  <si>
    <t>ระยะเวลาจัดงาน:</t>
  </si>
  <si>
    <t>ติดตั้ง:</t>
  </si>
  <si>
    <t>รื้อถอน:</t>
  </si>
  <si>
    <t>เบอร์ติดต่อ:</t>
  </si>
  <si>
    <t>Odoo</t>
  </si>
  <si>
    <t>Barcode</t>
  </si>
  <si>
    <t>Product Name</t>
  </si>
  <si>
    <t>Arrange Name</t>
  </si>
  <si>
    <t>Black Price</t>
  </si>
  <si>
    <t>Red Price</t>
  </si>
  <si>
    <t>A10018</t>
  </si>
  <si>
    <t>ERGO MOUSE 01</t>
  </si>
  <si>
    <t>A10072</t>
  </si>
  <si>
    <t>RGB DESK MAT (KEYBOARD PAD)</t>
  </si>
  <si>
    <t>A10073</t>
  </si>
  <si>
    <t>RGB MOUSE PAD</t>
  </si>
  <si>
    <t>A10074</t>
  </si>
  <si>
    <t>YALE KEYBOARD WRIST PAD</t>
  </si>
  <si>
    <t>A10075</t>
  </si>
  <si>
    <t>YALE MOUSE PAD</t>
  </si>
  <si>
    <t>A10023</t>
  </si>
  <si>
    <t>Aluminum Laptop Riser 01</t>
  </si>
  <si>
    <t>ALUMINUM LAPTOP RISER 01</t>
  </si>
  <si>
    <t>A10067</t>
  </si>
  <si>
    <t>PORTO PHONE &amp; TABLET STAND</t>
  </si>
  <si>
    <t>A10188</t>
  </si>
  <si>
    <t>LIMA Mobile Phone Holder</t>
  </si>
  <si>
    <t>LIMA MOBILE PHONE HOLDER</t>
  </si>
  <si>
    <t>A10189</t>
  </si>
  <si>
    <t>SKI Laptop Riser</t>
  </si>
  <si>
    <t>SKI LAPTOP RISER</t>
  </si>
  <si>
    <t>A10190</t>
  </si>
  <si>
    <t>HAVANA Laptop Riser</t>
  </si>
  <si>
    <t>HAVANA LAPTOP RISER</t>
  </si>
  <si>
    <t>A10180</t>
  </si>
  <si>
    <t>ลูกบอลบริหารมือ EGG GRIP BALL</t>
  </si>
  <si>
    <t>EGG GRIP BALL</t>
  </si>
  <si>
    <t>A10183</t>
  </si>
  <si>
    <t>SPIDER Finger Stretcher ยางยืดบริหารนิ้วมือ</t>
  </si>
  <si>
    <t>SPIDER FINGER STRETCHER</t>
  </si>
  <si>
    <t>A10020</t>
  </si>
  <si>
    <t>Footrest 06 -Black</t>
  </si>
  <si>
    <t>FOOTREST 06</t>
  </si>
  <si>
    <t>A10021</t>
  </si>
  <si>
    <t>Footrest08</t>
  </si>
  <si>
    <t>FOOTREST 08</t>
  </si>
  <si>
    <t>A10022</t>
  </si>
  <si>
    <t>Footrest09</t>
  </si>
  <si>
    <t>FOOTREST 09</t>
  </si>
  <si>
    <t>A10178</t>
  </si>
  <si>
    <t>ที่พักเท้า LAYER FOOTREST</t>
  </si>
  <si>
    <t>LAYER FOOTREST</t>
  </si>
  <si>
    <t>A10019</t>
  </si>
  <si>
    <t>ที่พักขา LEGPRO2</t>
  </si>
  <si>
    <t>LEGPRO 2</t>
  </si>
  <si>
    <t>A10024</t>
  </si>
  <si>
    <t>MONITOR ARM รุ่น Robot01-Gen2</t>
  </si>
  <si>
    <t>MONITOR ARM รุ่น ROBOT01-GEN2</t>
  </si>
  <si>
    <t>A10063</t>
  </si>
  <si>
    <t>MONITOR ARM รุ่น Robot02-Gen2</t>
  </si>
  <si>
    <t>MONITOR ARM รุ่น ROBOT02-GEN2</t>
  </si>
  <si>
    <t>A10026</t>
  </si>
  <si>
    <t>MONITOR ARM รุ่น Robot02-Gen3</t>
  </si>
  <si>
    <t>MONITOR ARM รุ่น ROBOT02-GEN3</t>
  </si>
  <si>
    <t>A10185</t>
  </si>
  <si>
    <t>Robot01 RGB Monitor Arm</t>
  </si>
  <si>
    <t>MONITOR ARM รุ่น ROBOT01 RGB</t>
  </si>
  <si>
    <t>A10071</t>
  </si>
  <si>
    <t>ARTI POLE MONITOR</t>
  </si>
  <si>
    <t>A10025</t>
  </si>
  <si>
    <t>Robot Laptop Holder</t>
  </si>
  <si>
    <t>ROBOT LAPTOP HOLDER</t>
  </si>
  <si>
    <t>A10068</t>
  </si>
  <si>
    <t>VERSE DESKTOP RISER</t>
  </si>
  <si>
    <t>A10014</t>
  </si>
  <si>
    <t>Standby Pad แผ่นรองยืน</t>
  </si>
  <si>
    <t>STANDBY PAD</t>
  </si>
  <si>
    <t>A10064</t>
  </si>
  <si>
    <t>SIXX CPU HOLDER</t>
  </si>
  <si>
    <t>A10065</t>
  </si>
  <si>
    <t>LINA SWIVEL STORAGE TRAY</t>
  </si>
  <si>
    <t>A10050</t>
  </si>
  <si>
    <t>Clamp On Keyboard Tray</t>
  </si>
  <si>
    <t>CLAMP ON KEYBOARD TRAY</t>
  </si>
  <si>
    <t>A10069</t>
  </si>
  <si>
    <t>MAG SNAKE CABLE MANAGEMENT (white)</t>
  </si>
  <si>
    <t>MAG SNAKE CABLE MANAGEMENT (WHITE)</t>
  </si>
  <si>
    <t>A10070</t>
  </si>
  <si>
    <t>MAG SNAKE CABLE MANAGEMENT (black)</t>
  </si>
  <si>
    <t>MAG SNAKE CABLE MANAGEMENT (BLACK)</t>
  </si>
  <si>
    <t>A10187</t>
  </si>
  <si>
    <t>ล้อเก้าอี้ รุ่น FLEX60 Castor (5ล้อ/ชุด)</t>
  </si>
  <si>
    <t>FLEX60 CASTOR (5ล้อ/ชุด)</t>
  </si>
  <si>
    <t>A10184</t>
  </si>
  <si>
    <t>LOG Extendable Clamp-On Cable Tray</t>
  </si>
  <si>
    <t>LOG EXTENDABLE CLAMP-ON CABLE TRAY</t>
  </si>
  <si>
    <t>A10181</t>
  </si>
  <si>
    <t>ARENA Chair Mat</t>
  </si>
  <si>
    <t>ARENA CHAIR MAT</t>
  </si>
  <si>
    <t>A10182</t>
  </si>
  <si>
    <t>TIDY Ultra-Slim Under Desk Storage Drawer</t>
  </si>
  <si>
    <t>TIDY ULTRA-SLIM UNDER DESK STORAGE DRAWER</t>
  </si>
  <si>
    <t>A10041</t>
  </si>
  <si>
    <t>Mesh Cable Tray</t>
  </si>
  <si>
    <t>MESH CABLE TRAY</t>
  </si>
  <si>
    <t>A10042</t>
  </si>
  <si>
    <t xml:space="preserve"> </t>
  </si>
  <si>
    <t>Cable Tube white for Sit2Stand</t>
  </si>
  <si>
    <t>CABLE TUBE WHITE FOR SIT2STAND</t>
  </si>
  <si>
    <t>A10043</t>
  </si>
  <si>
    <t>Cable Tube black for Sit2Stand</t>
  </si>
  <si>
    <t>CABLE TUBE BLACK FOR SIT2STAND</t>
  </si>
  <si>
    <t>A10044</t>
  </si>
  <si>
    <t>Cable Snake white for Sit2Stand</t>
  </si>
  <si>
    <t>CABLE SNAKE WHITE FOR SIT2STAND</t>
  </si>
  <si>
    <t>A10045</t>
  </si>
  <si>
    <t>Cable Snake black for Sit2Stand</t>
  </si>
  <si>
    <t>CABLE SNAKE BLACK FOR SIT2STAND</t>
  </si>
  <si>
    <t>A10046</t>
  </si>
  <si>
    <t>Cable Cover white for Sit2Stand</t>
  </si>
  <si>
    <t>CABLE COVER WHITE FOR SIT2STAND</t>
  </si>
  <si>
    <t>A10047</t>
  </si>
  <si>
    <t>Cable Cover black for Sit2Stand</t>
  </si>
  <si>
    <t>CABLE COVER BLACK FOR SIT2STAND</t>
  </si>
  <si>
    <t>A10227</t>
  </si>
  <si>
    <t>LAPTOP PRO Laptop Table on Chair (Black)</t>
  </si>
  <si>
    <t>LAPTOP PRO LAPTOP TABLE ON CHAIR (BLACK)</t>
  </si>
  <si>
    <t>A10228</t>
  </si>
  <si>
    <t>LAPTOP PRO Laptop Table on Chair (Grey)</t>
  </si>
  <si>
    <t>LAPTOP PRO LAPTOP TABLE ON CHAIR (GREY)</t>
  </si>
  <si>
    <t>A10010</t>
  </si>
  <si>
    <t>POWER STRIP HOLDER (MH01-2)</t>
  </si>
  <si>
    <t>A10013</t>
  </si>
  <si>
    <t>Smart Keyboard Tray -Black</t>
  </si>
  <si>
    <t>SMART KEYBOARD TRAY -BLACK</t>
  </si>
  <si>
    <t>A10028</t>
  </si>
  <si>
    <t>COMBI CHAIR</t>
  </si>
  <si>
    <t>Combi Chair</t>
  </si>
  <si>
    <t>A10216</t>
  </si>
  <si>
    <t>COMBI CHAIR JUMBO GRAY</t>
  </si>
  <si>
    <t>Combi Chair Jumbo Gray</t>
  </si>
  <si>
    <t>A10076</t>
  </si>
  <si>
    <t>BRIX ARMREST CUSHION</t>
  </si>
  <si>
    <t>Brix Armrest Cushion</t>
  </si>
  <si>
    <t>A10148</t>
  </si>
  <si>
    <t>PHYSIO ERGO CUSHION FOR HIGH BACK (Middle Back)</t>
  </si>
  <si>
    <t>Physio Ergo Cushion For Middle Back</t>
  </si>
  <si>
    <t>A10149</t>
  </si>
  <si>
    <t>PHYSIO ERGO CUSHION FOR LOWER BACK</t>
  </si>
  <si>
    <t>Physio Ergo Cushion For Lower Back</t>
  </si>
  <si>
    <t>A10150</t>
  </si>
  <si>
    <t>PHYSIO ERGO SEAT CUSHION</t>
  </si>
  <si>
    <t>Physio Ergo Seat Cushion</t>
  </si>
  <si>
    <t>A10207</t>
  </si>
  <si>
    <t>LIMO Car Seat Back Cushion</t>
  </si>
  <si>
    <t>Limo Car Seat Back Cushion</t>
  </si>
  <si>
    <t>A10208</t>
  </si>
  <si>
    <t>MOBIL Car Seat Neck Cushion</t>
  </si>
  <si>
    <t>Mobil Car Seat Neck Cushion</t>
  </si>
  <si>
    <t>A10209</t>
  </si>
  <si>
    <t>TRAVELO Neck Pillow</t>
  </si>
  <si>
    <t>Travelo Neck Pillow</t>
  </si>
  <si>
    <t>A10211</t>
  </si>
  <si>
    <t>เบาะรองหลังเพื่อสุขภาพ Soft Soft ขนาด M</t>
  </si>
  <si>
    <t>Softsoft Cushion Size M</t>
  </si>
  <si>
    <t>A10212</t>
  </si>
  <si>
    <t>เบาะรองหลังเพื่อสุขภาพ Soft Soft ขนาด L</t>
  </si>
  <si>
    <t>Softsoft Cushion Size L</t>
  </si>
  <si>
    <t>A10213</t>
  </si>
  <si>
    <t>MASTER BACK CUSHION</t>
  </si>
  <si>
    <t>Master Back Cushion</t>
  </si>
  <si>
    <t>A10214</t>
  </si>
  <si>
    <t>MASTER SEAT CUSHION</t>
  </si>
  <si>
    <t>Master Seat Cushion</t>
  </si>
  <si>
    <t>A10027</t>
  </si>
  <si>
    <t>Ultraback-125-Black</t>
  </si>
  <si>
    <t>Ultraback Backrest</t>
  </si>
  <si>
    <t>A10029</t>
  </si>
  <si>
    <t>MIYO-BACKREST CUSHION-MEMORY FOAM</t>
  </si>
  <si>
    <t>Miyo Backrest Cushion</t>
  </si>
  <si>
    <t>A10030</t>
  </si>
  <si>
    <t>MIYO-HIP UP CUSHION-MEMORY FOAM</t>
  </si>
  <si>
    <t>Miyo Hip Up Cushion</t>
  </si>
  <si>
    <t>C10038</t>
  </si>
  <si>
    <t>เก้าอี้ รุ่น ANOMOUS</t>
  </si>
  <si>
    <t>เก้าอี้เพื่อสุขภาพ รุ่น Anomous</t>
  </si>
  <si>
    <t>C10071</t>
  </si>
  <si>
    <t>เก้าอี้ รุ่น KONOMOUS</t>
  </si>
  <si>
    <t>เก้าอี้เพื่อสุขภาพ รุ่น Konomous</t>
  </si>
  <si>
    <t>C10039</t>
  </si>
  <si>
    <t>เก้าอี้ รุ่น Bergen-All Black</t>
  </si>
  <si>
    <t>เก้าอี้เพื่อสุขภาพ รุ่น Bergen All Black</t>
  </si>
  <si>
    <t>C10040</t>
  </si>
  <si>
    <t>เก้าอี้ รุ่น Bergen</t>
  </si>
  <si>
    <t>เก้าอี้เพื่อสุขภาพ รุ่น Bergen</t>
  </si>
  <si>
    <t>C10041</t>
  </si>
  <si>
    <t>เก้าอี้รุ่น Beyond-Gray</t>
  </si>
  <si>
    <t>เก้าอี้เพื่อสุขภาพ รุ่น Beyond-Gray</t>
  </si>
  <si>
    <t>C10043</t>
  </si>
  <si>
    <t>เก้าอี้เพื่อสุขภาพ รุ่น Butterfly01BMM</t>
  </si>
  <si>
    <t>เก้าอี้เพื่อสุขภาพ รุ่น Butterfly01Bmm</t>
  </si>
  <si>
    <t>C10044</t>
  </si>
  <si>
    <t>เก้าอี้สำนักงานเพื่อสุขภาพ รุ่น Butterfly01GMM</t>
  </si>
  <si>
    <t>เก้าอี้เพื่อสุขภาพ รุ่น Butterfly01Gmm</t>
  </si>
  <si>
    <t>C10045</t>
  </si>
  <si>
    <t>เก้าอี้เพื่อสุขภาพ รุ่น CHARM 01BMF</t>
  </si>
  <si>
    <t>เก้าอี้เพื่อสุขภาพ รุ่น Charm 01Bmf</t>
  </si>
  <si>
    <t>C10046</t>
  </si>
  <si>
    <t>เก้าอี้เพื่อสุขภาพ รุ่น DOOM 01BMF</t>
  </si>
  <si>
    <t>เก้าอี้เพื่อสุขภาพ รุ่น Doom 01Bmf</t>
  </si>
  <si>
    <t>C10048</t>
  </si>
  <si>
    <t>เก้าอี้รุ่น DUAL-X</t>
  </si>
  <si>
    <t>เก้าอี้เพื่อสุขภาพ รุ่น Dual-X</t>
  </si>
  <si>
    <t>C10049</t>
  </si>
  <si>
    <t>เก้าอี้รุ่น DUAL-X Classic</t>
  </si>
  <si>
    <t>เก้าอี้เพื่อสุขภาพ รุ่น Dual-X Classic</t>
  </si>
  <si>
    <t>C10051</t>
  </si>
  <si>
    <t>เก้าอี้รุ่น DUAL-X1</t>
  </si>
  <si>
    <t>เก้าอี้เพื่อสุขภาพ รุ่น Dual-X1</t>
  </si>
  <si>
    <t>C10060</t>
  </si>
  <si>
    <t>เก้าอี้ ERGO JOY PLUS 01BMM-ดำ</t>
  </si>
  <si>
    <t>เก้าอี้เพื่อสุขภาพ รุ่น Ergo Joy Plus</t>
  </si>
  <si>
    <t>C10061</t>
  </si>
  <si>
    <t>เก้าอี้ ERGO JOY PRO 01BMM-ดำ</t>
  </si>
  <si>
    <t>เก้าอี้เพื่อสุขภาพ รุ่น Ergo Joy Pro</t>
  </si>
  <si>
    <t>C10062</t>
  </si>
  <si>
    <t>เก้าอี้รุ่น ERGO-X-Black</t>
  </si>
  <si>
    <t>เก้าอี้เพื่อสุขภาพ รุ่น Ergo-X-Black</t>
  </si>
  <si>
    <t>C10063</t>
  </si>
  <si>
    <t>เก้าอี้รุ่น ERGO-X-Grey</t>
  </si>
  <si>
    <t>เก้าอี้เพื่อสุขภาพ รุ่น Ergo-X-Grey</t>
  </si>
  <si>
    <t>C10064</t>
  </si>
  <si>
    <t>เก้าอี้รุ่น ERGO-X-Green</t>
  </si>
  <si>
    <t>เก้าอี้เพื่อสุขภาพ รุ่น Ergo-X-Green</t>
  </si>
  <si>
    <t>C10066</t>
  </si>
  <si>
    <t>เก้าอี้รุ่น Gotland</t>
  </si>
  <si>
    <t>เก้าอี้เพื่อสุขภาพ รุ่น Gotland</t>
  </si>
  <si>
    <t>C10073</t>
  </si>
  <si>
    <t>เก้าอี้รุ่น LUND-Black</t>
  </si>
  <si>
    <t>เก้าอี้เพื่อสุขภาพ รุ่น Lund-Black</t>
  </si>
  <si>
    <t>C10074</t>
  </si>
  <si>
    <t>เก้าอี้รุ่น LUND-Black (No Headrest)</t>
  </si>
  <si>
    <t>เก้าอี้เพื่อสุขภาพ รุ่น Lund-Black (No Headrest)</t>
  </si>
  <si>
    <t>C10075</t>
  </si>
  <si>
    <t>เก้าอี้ รุ่น M-Bergen</t>
  </si>
  <si>
    <t>เก้าอี้เพื่อสุขภาพ รุ่น M-Bergen</t>
  </si>
  <si>
    <t>C10076</t>
  </si>
  <si>
    <t>เก้าอี้ รุ่น M-GOTLAND</t>
  </si>
  <si>
    <t>เก้าอี้เพื่อสุขภาพ รุ่น M-Gotland</t>
  </si>
  <si>
    <t>C10078</t>
  </si>
  <si>
    <t>เก้าอี้รุ่น Oster</t>
  </si>
  <si>
    <t>เก้าอี้เพื่อสุขภาพ รุ่น Oster</t>
  </si>
  <si>
    <t>C10079</t>
  </si>
  <si>
    <t>เก้าอี้ PORTSEA 01BMM</t>
  </si>
  <si>
    <t>เก้าอี้เพื่อสุขภาพ รุ่น Portsea 01Bmm</t>
  </si>
  <si>
    <t>C10080</t>
  </si>
  <si>
    <t>เก้าอี้ MALMO</t>
  </si>
  <si>
    <t>เก้าอี้เพื่อสุขภาพ รุ่น Malmo</t>
  </si>
  <si>
    <t>C10081</t>
  </si>
  <si>
    <t>เก้าอี้ MALMO Light</t>
  </si>
  <si>
    <t>เก้าอี้เพื่อสุขภาพ รุ่น Malmo Light</t>
  </si>
  <si>
    <t>C10085</t>
  </si>
  <si>
    <t>เก้าอี้ ULTIMATE-Butterfly</t>
  </si>
  <si>
    <t>เก้าอี้เพื่อสุขภาพ รุ่น Ultimate-Butterfly</t>
  </si>
  <si>
    <t>C10086</t>
  </si>
  <si>
    <t>เก้าอี้ ULTIMATE-MALMO</t>
  </si>
  <si>
    <t>เก้าอี้เพื่อสุขภาพ รุ่น Ultimate-Malmo</t>
  </si>
  <si>
    <t>C10087</t>
  </si>
  <si>
    <t>เก้าอี้ ULTIMATE-PORTSEA</t>
  </si>
  <si>
    <t>เก้าอี้เพื่อสุขภาพ รุ่น Ultimate-Portsea</t>
  </si>
  <si>
    <t>C10090</t>
  </si>
  <si>
    <t>เก้าอี้รุ่น Wisby</t>
  </si>
  <si>
    <t>เก้าอี้เพื่อสุขภาพ รุ่น Wisby</t>
  </si>
  <si>
    <t>C10091</t>
  </si>
  <si>
    <t>เก้าอี้ รุ่น Z-GOTLAND</t>
  </si>
  <si>
    <t>เก้าอี้เพื่อสุขภาพ รุ่น Z-Gotland</t>
  </si>
  <si>
    <t>C10092</t>
  </si>
  <si>
    <t>เก้าอี้รุ่น TRULY - GREY</t>
  </si>
  <si>
    <t>เก้าอี้เพื่อสุขภาพ รุ่น Truly - Grey</t>
  </si>
  <si>
    <t>C10218</t>
  </si>
  <si>
    <t>เก้าอี้ รุ่น ERGO JOY REST</t>
  </si>
  <si>
    <t>เก้าอี้เพื่อสุขภาพ รุ่น Ergo Joy Rest</t>
  </si>
  <si>
    <t>C10219</t>
  </si>
  <si>
    <t>เก้าอี้ รุ่น MALMO MILLIMETER</t>
  </si>
  <si>
    <t>เก้าอี้เพื่อสุขภาพ รุ่น Malmo Millimeter</t>
  </si>
  <si>
    <t>C10254</t>
  </si>
  <si>
    <t>เก้าอี้ รุ่น STUNT</t>
  </si>
  <si>
    <t>เก้าอี้เพื่อสุขภาพ รุ่น Stunt</t>
  </si>
  <si>
    <t>C10255</t>
  </si>
  <si>
    <t>เก้าอี้ รุ่น SPACIO</t>
  </si>
  <si>
    <t>เก้าอี้เพื่อสุขภาพ รุ่น Spacio</t>
  </si>
  <si>
    <t>C10310</t>
  </si>
  <si>
    <t>เก้าอี้เพื่อสุขภาพ รุ่น HESSE</t>
  </si>
  <si>
    <t>เก้าอี้เพื่อสุขภาพ รุ่น Hesse</t>
  </si>
  <si>
    <t>C10311</t>
  </si>
  <si>
    <t>เก้าอี้ รุ่น X-Beyond</t>
  </si>
  <si>
    <t>เก้าอี้เพื่อสุขภาพ รุ่น X-Beyond</t>
  </si>
  <si>
    <t>C10319</t>
  </si>
  <si>
    <t>เก้าอี้เพื่อสุขภาพ เออร์โกเทรน BRUGE</t>
  </si>
  <si>
    <t>เก้าอี้เพื่อสุขภาพ รุ่น Bruge</t>
  </si>
  <si>
    <t>C10320</t>
  </si>
  <si>
    <t>เก้าอี้เพื่อสุขภาพ เออร์โกเทรน DOLPH</t>
  </si>
  <si>
    <t>เก้าอี้เพื่อสุขภาพ รุ่น Dolph</t>
  </si>
  <si>
    <t>C10350</t>
  </si>
  <si>
    <t>เก้าอี้เพื่อสุขภาพ Ultimate Spacio สีดำ</t>
  </si>
  <si>
    <t>เก้าอี้เพื่อสุขภาพ รุ่น Ultimate Spacio สีดำ</t>
  </si>
  <si>
    <t>C10351</t>
  </si>
  <si>
    <t>เก้าอี้เพื่อสุขภาพ Ultimate Spacio สีเทา</t>
  </si>
  <si>
    <t>เก้าอี้เพื่อสุขภาพ รุ่น Ultimate Spacio สีเทา</t>
  </si>
  <si>
    <t>C10362</t>
  </si>
  <si>
    <t>เก้าอี้เพื่อสุขภาพ รุ่น Dawn</t>
  </si>
  <si>
    <t>C10363</t>
  </si>
  <si>
    <t>เก้าอี้เพื่อสุขภาพ รุ่น Milton</t>
  </si>
  <si>
    <t>C10364</t>
  </si>
  <si>
    <t>เก้าอี้เพื่อสุขภาพ รุ่น Rio</t>
  </si>
  <si>
    <t>C10369</t>
  </si>
  <si>
    <t>เก้าอี้เพื่อสุขภาพ เออร์โกเทรน รุ่น CROSS สีดำ</t>
  </si>
  <si>
    <t>เก้าอี้เพื่อสุขภาพ รุ่น Cross สีดำ</t>
  </si>
  <si>
    <t>C10370</t>
  </si>
  <si>
    <t>เก้าอี้เพื่อสุขภาพ เออร์โกเทรน รุ่น CROSS สีขาว</t>
  </si>
  <si>
    <t>เก้าอี้เพื่อสุขภาพ รุ่น Cross สีขาว</t>
  </si>
  <si>
    <t>C10371</t>
  </si>
  <si>
    <t>เก้าอี้เพื่อสุขภาพ เออร์โกเทรน รุ่น CROSS สีเทา</t>
  </si>
  <si>
    <t>เก้าอี้เพื่อสุขภาพ รุ่น Cross สีเทา</t>
  </si>
  <si>
    <t>C10372</t>
  </si>
  <si>
    <t>Ergotrend ErgoMatic Pro Chair</t>
  </si>
  <si>
    <t>เก้าอี้เพื่อสุขภาพ รุ่น Ergomatic Pro</t>
  </si>
  <si>
    <t>C10373</t>
  </si>
  <si>
    <t>Ergotrend ErgoMatic Plus Chair</t>
  </si>
  <si>
    <t xml:space="preserve">เก้าอี้เพื่อสุขภาพ รุ่น Ergomatic Plus </t>
  </si>
  <si>
    <t>C10382</t>
  </si>
  <si>
    <t>Ergotrend YOO Black Chair</t>
  </si>
  <si>
    <t>เก้าอี้เพื่อสุขภาพ รุ่น Yoo สีดำ</t>
  </si>
  <si>
    <t>C10383</t>
  </si>
  <si>
    <t>Ergotrend YOO Grey Chair</t>
  </si>
  <si>
    <t>เก้าอี้เพื่อสุขภาพ รุ่น Yoo สีเทา</t>
  </si>
  <si>
    <t>C10384</t>
  </si>
  <si>
    <t>Ergotrend DAWN Grey Chair</t>
  </si>
  <si>
    <t>เก้าอี้เพื่อสุขภาพ รุ่น Dawn สีเทา</t>
  </si>
  <si>
    <t>C10385</t>
  </si>
  <si>
    <t>Ergotrend GLACIER Chair</t>
  </si>
  <si>
    <t>เก้าอี้เพื่อสุขภาพ รุ่น Glacier</t>
  </si>
  <si>
    <t>C10387</t>
  </si>
  <si>
    <t>Ergotrend Malmo Gray chair</t>
  </si>
  <si>
    <t>เก้าอี้เพื่อสุขภาพ รุ่น Malmo สีเทา</t>
  </si>
  <si>
    <t>C10388</t>
  </si>
  <si>
    <t>Ergotrend Oslo Black chair</t>
  </si>
  <si>
    <t>เก้าอี้เพื่อสุขภาพ รุ่น Oslo สีดำ</t>
  </si>
  <si>
    <t>C10389</t>
  </si>
  <si>
    <t>Ergotrend Oslo Gray chair</t>
  </si>
  <si>
    <t>เก้าอี้เพื่อสุขภาพ รุ่น Oslo สีเทา</t>
  </si>
  <si>
    <t>C10390</t>
  </si>
  <si>
    <t>เก้าอี้เพื่อสุขภาพ รุ่น Iceberg</t>
  </si>
  <si>
    <t>S10001</t>
  </si>
  <si>
    <t>Sit2Stand Absolute Desk</t>
  </si>
  <si>
    <t>โต๊ะปรับระดับไฟฟ้า รุ่น Absolute Desk</t>
  </si>
  <si>
    <t>S12975</t>
  </si>
  <si>
    <t>Sit2Stand GlassDesk-Black</t>
  </si>
  <si>
    <t>โต๊ะปรับระดับไฟฟ้า รุ่น Glassdesk-Black</t>
  </si>
  <si>
    <t>S12976</t>
  </si>
  <si>
    <t>Sit2stand RGB L-shaped Desk</t>
  </si>
  <si>
    <t>โต๊ะปรับระดับไฟฟ้า รุ่น Rgb L-Shaped Desk</t>
  </si>
  <si>
    <t>S12977</t>
  </si>
  <si>
    <t>Sit 2 Stand TO GO-Black</t>
  </si>
  <si>
    <t>โต๊ะปรับระดับไฟฟ้า รุ่น Stand To Go-Black</t>
  </si>
  <si>
    <t>S12978</t>
  </si>
  <si>
    <t>Sit2Stand Warrace L-shaped Desk</t>
  </si>
  <si>
    <t>โต๊ะปรับระดับไฟฟ้า รุ่น Warrace L-Shaped Desk</t>
  </si>
  <si>
    <t>S13286</t>
  </si>
  <si>
    <t>SIT2STAND NORM Black</t>
  </si>
  <si>
    <t>โต๊ะปรับระดับไฟฟ้า รุ่น Norm Black</t>
  </si>
  <si>
    <t>S13287</t>
  </si>
  <si>
    <t>SIT2STAND NORM White</t>
  </si>
  <si>
    <t>โต๊ะปรับระดับไฟฟ้า รุ่น Norm White</t>
  </si>
  <si>
    <t>S13335</t>
  </si>
  <si>
    <t>SIT2STAND ABSOLUTE DESK (WHITE-OAK)</t>
  </si>
  <si>
    <t>โต๊ะปรับระดับไฟฟ้า รุ่น Absolute Desk (White-Oak)</t>
  </si>
  <si>
    <t>S13462</t>
  </si>
  <si>
    <t>SIT2STAND NORM White Oak</t>
  </si>
  <si>
    <t>โต๊ะปรับระดับไฟฟ้า รุ่น Norm White Oak</t>
  </si>
  <si>
    <t>S13469</t>
  </si>
  <si>
    <t>ELEVIO Height Adjustable Desk 120x60 Light Walnut-Black</t>
  </si>
  <si>
    <t>โต๊ะปรับระดับไฟฟ้า รุ่น Elevio 120X60 Light Walnut-Black</t>
  </si>
  <si>
    <t>S13470</t>
  </si>
  <si>
    <t>ELEVIO Height Adjustable Desk 120x60 Black Walnut-Black</t>
  </si>
  <si>
    <t>โต๊ะปรับระดับไฟฟ้า รุ่น Elevio 120X60 Black Walnut-Black</t>
  </si>
  <si>
    <t>S13471</t>
  </si>
  <si>
    <t>ELEVIO Height Adjustable Desk 120x60 Artisan Oak-White</t>
  </si>
  <si>
    <t>โต๊ะปรับระดับไฟฟ้า รุ่น Elevio 120X60 Artisan Oak-White</t>
  </si>
  <si>
    <t>S13472</t>
  </si>
  <si>
    <t>ELEVIO Height Adjustable Desk 120x60 White Walnut-White</t>
  </si>
  <si>
    <t>โต๊ะปรับระดับไฟฟ้า รุ่น Elevio 120X60 White Walnut-White</t>
  </si>
  <si>
    <t>S13636</t>
  </si>
  <si>
    <t>ELEVIO Height Adjustable Desk 120x60 Carbon Fiber-Black</t>
  </si>
  <si>
    <t>โต๊ะปรับระดับไฟฟ้า รุ่น Elevio 120X60 Carbon Fiber-Black</t>
  </si>
  <si>
    <t>S13473</t>
  </si>
  <si>
    <t>ELEVIO Height Adjustable Desk 140x70 Light Walnut-Black</t>
  </si>
  <si>
    <t>โต๊ะปรับระดับไฟฟ้า รุ่น Elevio 140X70 Light Walnut-Black</t>
  </si>
  <si>
    <t>S13474</t>
  </si>
  <si>
    <t>ELEVIO Height Adjustable Desk 140x70 Black Walnut-Black</t>
  </si>
  <si>
    <t>โต๊ะปรับระดับไฟฟ้า รุ่น Elevio 140X70 Black Walnut-Black</t>
  </si>
  <si>
    <t>S13475</t>
  </si>
  <si>
    <t>ELEVIO Height Adjustable Desk 140x70 Artisan Oak-White</t>
  </si>
  <si>
    <t>โต๊ะปรับระดับไฟฟ้า รุ่น Elevio 140X70 Artisan Oak-White</t>
  </si>
  <si>
    <t>S13476</t>
  </si>
  <si>
    <t>ELEVIO Height Adjustable Desk 140x70 White Walnut-White</t>
  </si>
  <si>
    <t>โต๊ะปรับระดับไฟฟ้า รุ่น Elevio 140X70 White Walnut-White</t>
  </si>
  <si>
    <t>S13637</t>
  </si>
  <si>
    <t>ELEVIO Height Adjustable Desk 140x70 Carbon Fiber-Black</t>
  </si>
  <si>
    <t>โต๊ะปรับระดับไฟฟ้า รุ่น Elevio 140X70 Carbon Fiber-Black</t>
  </si>
  <si>
    <t>S13477</t>
  </si>
  <si>
    <t>LIFTIO L-shape Height Adjustable Desk 160x108/60x2.5 Oak-Black</t>
  </si>
  <si>
    <t>โต๊ะปรับระดับไฟฟ้า รุ่น Liftio 160X108/60X2.5 Oak-Black</t>
  </si>
  <si>
    <t>S13478</t>
  </si>
  <si>
    <t>LIFTIO L-shape Height Adjustable Desk 160x108/60x2.5 Oak Grey-Black</t>
  </si>
  <si>
    <t>โต๊ะปรับระดับไฟฟ้า รุ่น Liftio 160X108/60X2.5 Oak Grey-Black</t>
  </si>
  <si>
    <t>S13479</t>
  </si>
  <si>
    <t>LIFTIO L-shape Height Adjustable Desk 160x108/60x2.5 Light Wood-White</t>
  </si>
  <si>
    <t>โต๊ะปรับระดับไฟฟ้า รุ่น Liftio 160X108/60X2.5 Light Wood-White</t>
  </si>
  <si>
    <t>S13480</t>
  </si>
  <si>
    <t>LIFTIO L-shape Height Adjustable Desk 160x108/60x2.5 Light Walnut-White</t>
  </si>
  <si>
    <t>โต๊ะปรับระดับไฟฟ้า รุ่น Liftio 160X108/60X2.5 Light Walnut-White</t>
  </si>
  <si>
    <t>S13481</t>
  </si>
  <si>
    <t>LIFTIO L-shape Height Adjustable Desk 180x108/60x2.5 Oak-Black</t>
  </si>
  <si>
    <t>โต๊ะปรับระดับไฟฟ้า รุ่น Liftio 180X108/60X2.5 Oak-Black</t>
  </si>
  <si>
    <t>S13482</t>
  </si>
  <si>
    <t>LIFTIO L-shape Height Adjustable Desk 180x108/60x2.5 Oak Grey-Black</t>
  </si>
  <si>
    <t>โต๊ะปรับระดับไฟฟ้า รุ่น Liftio 180X108/60X2.5 Oak Grey-Black</t>
  </si>
  <si>
    <t>S13483</t>
  </si>
  <si>
    <t>LIFTIO L-shape Height Adjustable Desk 180x108/60x2.5 Light Wood-White</t>
  </si>
  <si>
    <t>โต๊ะปรับระดับไฟฟ้า รุ่น Liftio 180X108/60X2.5 Light Wood-White</t>
  </si>
  <si>
    <t>S13484</t>
  </si>
  <si>
    <t>LIFTIO L-shape Height Adjustable Desk 180x108/60x2.5 Light Walnut-White</t>
  </si>
  <si>
    <t>โต๊ะปรับระดับไฟฟ้า รุ่น Liftio 180X108/60X2.5 Light Walnut-White</t>
  </si>
  <si>
    <t>S13638</t>
  </si>
  <si>
    <t>ARISE Height Adjustable Desk 88x50x66-103CM Oak-White</t>
  </si>
  <si>
    <t>โต๊ะปรับระดับ รุ่น Arise 88X50X66-103Cm Oak-White</t>
  </si>
  <si>
    <t>S13639</t>
  </si>
  <si>
    <t>ARISE Height Adjustable Desk 88x50x66-103CM White-White</t>
  </si>
  <si>
    <t>โต๊ะปรับระดับ รุ่น Arise 88X50X66-103Cm White-White</t>
  </si>
  <si>
    <t>S13640</t>
  </si>
  <si>
    <t>ARISE Height Adjustable Desk 88x50x66-103CM Bamboo-Black</t>
  </si>
  <si>
    <t>โต๊ะปรับระดับ รุ่น Arise 88X50X66-103Cm Bamboo-Black</t>
  </si>
  <si>
    <t>S13641</t>
  </si>
  <si>
    <t>ARISE Height Adjustable Desk 88x50x66-103CM Wooden Grey-Black</t>
  </si>
  <si>
    <t>โต๊ะปรับระดับ รุ่น Arise 88X50X66-103Cm Wooden Grey-Black</t>
  </si>
  <si>
    <t>S13642</t>
  </si>
  <si>
    <t>FLOW Height Adjustable Side Desk 70x40x69-105CM Grey-White</t>
  </si>
  <si>
    <t>โต๊ะข้างปรับระดับ รุ่น Flow 70X40X69-105Cm Grey-White</t>
  </si>
  <si>
    <t>S13643</t>
  </si>
  <si>
    <t>FLOW Height Adjustable Side Desk 70x40x69-105CM Oak-White</t>
  </si>
  <si>
    <t>โต๊ะข้างปรับระดับ รุ่น Flow 70X40X69-105Cm Oak-White</t>
  </si>
  <si>
    <t>โต๊ะปรับระดับไฟฟ้า รุ่น SIT2STAND GEN 2A 120x70</t>
  </si>
  <si>
    <t>โต๊ะปรับระดับไฟฟ้า รุ่น SIT2STAND GEN 2A 150x75</t>
  </si>
  <si>
    <t>โต๊ะปรับระดับไฟฟ้า รุ่น SIT2STAND GEN 2A 180x75</t>
  </si>
  <si>
    <t>โต๊ะปรับระดับไฟฟ้า รุ่น SIT2STAND GEN 2A 200x85</t>
  </si>
  <si>
    <t>โต๊ะปรับระดับไฟฟ้า รุ่น SIT2STAND GEN 3 120x70</t>
  </si>
  <si>
    <t>โต๊ะปรับระดับไฟฟ้า รุ่น SIT2STAND GEN 3 150x75</t>
  </si>
  <si>
    <t>โต๊ะปรับระดับไฟฟ้า รุ่น SIT2STAND GEN 3 180x75</t>
  </si>
  <si>
    <t>โต๊ะปรับระดับไฟฟ้า รุ่น SIT2STAND GEN 3 200x85</t>
  </si>
  <si>
    <t>โต๊ะปรับระดับไฟฟ้า รุ่น SIT2STAND GEN 4 120x70</t>
  </si>
  <si>
    <t>โต๊ะปรับระดับไฟฟ้า รุ่น SIT2STAND GEN 4 150x75</t>
  </si>
  <si>
    <t>โต๊ะปรับระดับไฟฟ้า รุ่น SIT2STAND GEN 4 180x75</t>
  </si>
  <si>
    <t>โต๊ะปรับระดับไฟฟ้า รุ่น SIT2STAND GEN 4 200x85</t>
  </si>
  <si>
    <t>โต๊ะปรับระดับไฟฟ้า รุ่น SIT2STAND GEN 5 120x70</t>
  </si>
  <si>
    <t>โต๊ะปรับระดับไฟฟ้า รุ่น SIT2STAND GEN 5 150x75</t>
  </si>
  <si>
    <t>โต๊ะปรับระดับไฟฟ้า รุ่น SIT2STAND GEN 5 180x75</t>
  </si>
  <si>
    <t>โต๊ะปรับระดับไฟฟ้า รุ่น SIT2STAND GEN 5 200x85</t>
  </si>
  <si>
    <t>A10151</t>
  </si>
  <si>
    <t>ORTHOSPINE ADJUSTABLE ERGONOMIC PILLOW</t>
  </si>
  <si>
    <t>หมอนเพื่อสุขภาพ รุ่น Orthospine</t>
  </si>
  <si>
    <t>A10176</t>
  </si>
  <si>
    <t>ORTHOSPINE COTTON PILLOWCASE (ปลอกหมอนผ้าคอตตอน)</t>
  </si>
  <si>
    <t>ปลอกหมอน รุ่น Orthospine</t>
  </si>
  <si>
    <t>B10027</t>
  </si>
  <si>
    <t>หมอนเพื่อสุขภาพ HEXPERT</t>
  </si>
  <si>
    <t>หมอนเพื่อสุขภาพ รุ่น Hexpert</t>
  </si>
  <si>
    <t>B10028</t>
  </si>
  <si>
    <t>หมอน เออร์โกเทรน รุ่น SoftPlus</t>
  </si>
  <si>
    <t>หมอนเพื่อสุขภาพ รุ่น Softplus</t>
  </si>
  <si>
    <t>B10029</t>
  </si>
  <si>
    <t>หมอน เออร์โกเทรน รุ่น Anti Gerd</t>
  </si>
  <si>
    <t>หมอนเพื่อสุขภาพ รุ่น Anti Gerd</t>
  </si>
  <si>
    <t>B10036</t>
  </si>
  <si>
    <t>Anti Gerd Tencel Pillow Case</t>
  </si>
  <si>
    <t>ปลอกหมอน รุ่น Anti Gerd</t>
  </si>
  <si>
    <t>B10037</t>
  </si>
  <si>
    <t>หมอนเพื่อสุขภาพ GentleSlope</t>
  </si>
  <si>
    <t>หมอนเพื่อสุขภาพ รุ่น Gentleslope</t>
  </si>
  <si>
    <t>B10038</t>
  </si>
  <si>
    <t>หมอนเพื่อสุขภาพ SoftPlus Gen2</t>
  </si>
  <si>
    <t>หมอนเพื่อสุขภาพ รุ่น Softplus Gen2</t>
  </si>
  <si>
    <t>B10042</t>
  </si>
  <si>
    <t>GentleSlope Tencel Pillow Case</t>
  </si>
  <si>
    <t>ปลอกหมอน รุ่น Gentleslope</t>
  </si>
  <si>
    <t>B10043</t>
  </si>
  <si>
    <t>SoftPlus Gen2 Tencel Pillow Case</t>
  </si>
  <si>
    <t>ปลอกหมอน รุ่น Softplus Gen2</t>
  </si>
  <si>
    <t>A10229</t>
  </si>
  <si>
    <t>StretchUp Lumbar Support Pillow</t>
  </si>
  <si>
    <t>หมอนเพื่อสุขภาพ รุ่น Stretchup</t>
  </si>
  <si>
    <t>A10230</t>
  </si>
  <si>
    <t>ANYWHERE NAP PILLOW</t>
  </si>
  <si>
    <t>หมอนรองคอเพื่อสุขภาพ รุ่น Anywhere Nap</t>
  </si>
  <si>
    <t>B10024</t>
  </si>
  <si>
    <t>เตียงปรับระดับไฟฟ้ารุ่น GRAVITY ELECTRIC 3.5 FT</t>
  </si>
  <si>
    <t>เตียงปรับระดับไฟฟ้า รุ่น Gravity Electric 3.5 Ft</t>
  </si>
  <si>
    <t>B10025</t>
  </si>
  <si>
    <t>เตียงปรับระดับไฟฟ้ารุ่น GRAVITY ELECTRIC 5 FT</t>
  </si>
  <si>
    <t>เตียงปรับระดับไฟฟ้า รุ่น Gravity Electric 5 Ft</t>
  </si>
  <si>
    <t>B10026</t>
  </si>
  <si>
    <t>เตียงปรับระดับไฟฟ้ารุ่น GRAVITY ELECTRIC 6 FT</t>
  </si>
  <si>
    <t>เตียงปรับระดับไฟฟ้า รุ่น Gravity Electric 6 Ft</t>
  </si>
  <si>
    <t>B10030</t>
  </si>
  <si>
    <t>OrthoFlex Ergonomic Mattress 3.5 FT 105x198x30cm</t>
  </si>
  <si>
    <t xml:space="preserve">ที่นอนเพื่อสุขภาพ รุ่น Orthoflex 3.5 Ft </t>
  </si>
  <si>
    <t>B10031</t>
  </si>
  <si>
    <t>OrthoFlex Ergonomic Mattress 5 FT 150x198x30cm</t>
  </si>
  <si>
    <t xml:space="preserve">ที่นอนเพื่อสุขภาพ รุ่น Orthoflex 5 Ft </t>
  </si>
  <si>
    <t>B10032</t>
  </si>
  <si>
    <t>OrthoFlex Ergonomic Mattress 6 FT 180x198x30cm</t>
  </si>
  <si>
    <t xml:space="preserve">ที่นอนเพื่อสุขภาพ รุ่น Orthoflex 6 Ft </t>
  </si>
  <si>
    <t>B10033</t>
  </si>
  <si>
    <t>SoftSleep Memory Foam Topper 3.5 FT</t>
  </si>
  <si>
    <t>ท็อปเปอร์เพื่อสุขภาพ รุ่น Softsleep 3.5 Ft</t>
  </si>
  <si>
    <t>B10034</t>
  </si>
  <si>
    <t>SoftSleep Memory Foam Topper 5 FT</t>
  </si>
  <si>
    <t>ท็อปเปอร์เพื่อสุขภาพ รุ่น Softsleep 5 Ft</t>
  </si>
  <si>
    <t>B10035</t>
  </si>
  <si>
    <t>SoftSleep Memory Foam Topper 6 FT</t>
  </si>
  <si>
    <t>ท็อปเปอร์เพื่อสุขภาพ รุ่น Softsleep 6 Ft</t>
  </si>
  <si>
    <t>B10039</t>
  </si>
  <si>
    <t>OrthoCare Gen2 Ergonomic Mattress 3.5FT</t>
  </si>
  <si>
    <t>ที่นอนเพื่อสุขภาพ รุ่น OrthoCare Gen2 3.5 Ft</t>
  </si>
  <si>
    <t>B10040</t>
  </si>
  <si>
    <t>OrthoCare Gen2 Ergonomic Mattress 5FT</t>
  </si>
  <si>
    <t>ที่นอนเพื่อสุขภาพ รุ่น OrthoCare Gen2 5 Ft</t>
  </si>
  <si>
    <t>B10041</t>
  </si>
  <si>
    <t>OrthoCare Gen2 Ergonomic Mattress 6FT</t>
  </si>
  <si>
    <t>ที่นอนเพื่อสุขภาพ รุ่น OrthoCare Gen2 6 Ft</t>
  </si>
  <si>
    <t>K10124</t>
  </si>
  <si>
    <t>โต๊ะเพื่อสุขภาพ รุ่น LIBRARY สีชมพู</t>
  </si>
  <si>
    <t>โต๊ะเด็กเพื่อสุขภาพ รุ่น Library สีชมพู</t>
  </si>
  <si>
    <t>K10125</t>
  </si>
  <si>
    <t>โต๊ะเพื่อสุขภาพ รุ่น LIBRARY สีฟ้า</t>
  </si>
  <si>
    <t>โต๊ะเด็กเพื่อสุขภาพ รุ่น Library สีฟ้า</t>
  </si>
  <si>
    <t>K10126</t>
  </si>
  <si>
    <t>โต๊ะเพื่อสุขภาพ รุ่น TREASURE สีชมพู</t>
  </si>
  <si>
    <t>โต๊ะเด็กเพื่อสุขภาพ รุ่น Treasure สีชมพู</t>
  </si>
  <si>
    <t>K10127</t>
  </si>
  <si>
    <t>โต๊ะเพื่อสุขภาพ รุ่น TREASURE สีฟ้า</t>
  </si>
  <si>
    <t>โต๊ะเด็กเพื่อสุขภาพ รุ่น Treasure สีฟ้า</t>
  </si>
  <si>
    <t>K10128</t>
  </si>
  <si>
    <t>โต๊ะเพื่อสุขภาพ รุ่น CASTLE สีเขียว</t>
  </si>
  <si>
    <t>โต๊ะเด็กเพื่อสุขภาพ รุ่น Castle สีเขียว</t>
  </si>
  <si>
    <t>K10129</t>
  </si>
  <si>
    <t>เก้าอี้เพื่อสุขภาพ รุ่น GLOW สีชมพู</t>
  </si>
  <si>
    <t>เก้าอี้เด็กเพื่อสุขภาพ รุ่น Glow สีชมพู</t>
  </si>
  <si>
    <t>K10130</t>
  </si>
  <si>
    <t>เก้าอี้เพื่อสุขภาพ รุ่น BRIGHT สีฟ้า</t>
  </si>
  <si>
    <t>เก้าอี้เด็กเพื่อสุขภาพ รุ่น Bright สีฟ้า</t>
  </si>
  <si>
    <t>K10131</t>
  </si>
  <si>
    <t>ผ้าคลุมเก้าอี้ รุ่น GLOW สีชมพู</t>
  </si>
  <si>
    <t>ผ้าคลุมเก้าอี้ รุ่น Glow สีชมพู</t>
  </si>
  <si>
    <t>K10132</t>
  </si>
  <si>
    <t>ผ้าคลุมเก้าอี้ รุ่น BRIGHT สีฟ้า</t>
  </si>
  <si>
    <t>ผ้าคลุมเก้าอี้ รุ่น Bright สีฟ้า</t>
  </si>
  <si>
    <t>K10133</t>
  </si>
  <si>
    <t>เก้าอี้เพื่อสุขภาพ รุ่น WISDOM สีชมพู</t>
  </si>
  <si>
    <t>เก้าอี้เด็กเพื่อสุขภาพ รุ่น Wisdom สีชมพู</t>
  </si>
  <si>
    <t>K10134</t>
  </si>
  <si>
    <t>เก้าอี้เพื่อสุขภาพ รุ่น WISDOM สีฟ้า</t>
  </si>
  <si>
    <t>เก้าอี้เด็กเพื่อสุขภาพ รุ่น Wisdom สีฟ้า</t>
  </si>
  <si>
    <t>K10135</t>
  </si>
  <si>
    <t>เก้าอี้เพื่อสุขภาพ รุ่น CASTLE</t>
  </si>
  <si>
    <t>เก้าอี้เด็กเพื่อสุขภาพ รุ่น Castle</t>
  </si>
  <si>
    <t>K10136</t>
  </si>
  <si>
    <t>แผ่นรองเขียนพร้อมอุปกรณ์ปรับท่านั่ง รุ่น FOCUS สีชมพู</t>
  </si>
  <si>
    <t>แผ่นรองเขียนพร้อมอุปกรณ์ปรับท่านั่ง รุ่น Focus สีชมพู</t>
  </si>
  <si>
    <t>K10137</t>
  </si>
  <si>
    <t>แผ่นรองเขียนพร้อมอุปกรณ์ปรับท่านั่ง รุ่น FOCUS สีฟ้า</t>
  </si>
  <si>
    <t>แผ่นรองเขียนพร้อมอุปกรณ์ปรับท่านั่ง รุ่น Focus สีฟ้า</t>
  </si>
  <si>
    <t>K10138</t>
  </si>
  <si>
    <t>อุปกรณ์ปรับท่านั่งพร้อมที่วางแขน รุ่น TRIANGLE สีชมพู</t>
  </si>
  <si>
    <t>อุปกรณ์ปรับท่านั่งพร้อมที่วางแขน รุ่น Triangle สีชมพู</t>
  </si>
  <si>
    <t>K10139</t>
  </si>
  <si>
    <t>อุปกรณ์ปรับท่านั่งพร้อมที่วางแขน รุ่น TRIANGLE สีฟ้า</t>
  </si>
  <si>
    <t>อุปกรณ์ปรับท่านั่งพร้อมที่วางแขน รุ่น Triangle สีฟ้า</t>
  </si>
  <si>
    <t>K10140</t>
  </si>
  <si>
    <t>แท่นวางอเนกประสงค์ รุ่น RUBIC สีส้ม</t>
  </si>
  <si>
    <t>แท่นวางอเนกประสงค์ รุ่น Rubic สีส้ม</t>
  </si>
  <si>
    <t>K10141</t>
  </si>
  <si>
    <t>ที่กั้นหนังสือ รุ่น PET PARADISE</t>
  </si>
  <si>
    <t>ที่กั้นหนังสือ รุ่น Pet Paradise</t>
  </si>
  <si>
    <t>เชลฟ์ส้มหน้าเดี่ยว</t>
  </si>
  <si>
    <t>เชลฟ์ส้มหน้าคู่</t>
  </si>
  <si>
    <t>อุปกรณ์สำนักงาน</t>
  </si>
  <si>
    <t>ปลั๊กไฟ</t>
  </si>
  <si>
    <t>อุปกรณ์ตกแต่ง</t>
  </si>
  <si>
    <t>Ref.</t>
  </si>
  <si>
    <t>งาน:</t>
  </si>
  <si>
    <t>สถานที่จัดงาน:</t>
  </si>
  <si>
    <t xml:space="preserve">วันที่แสดงงาน: </t>
  </si>
  <si>
    <t>ODOO</t>
  </si>
  <si>
    <t>รายการสินค้า</t>
  </si>
  <si>
    <t>สต็อค</t>
  </si>
  <si>
    <t>xx/xx/xx</t>
  </si>
  <si>
    <t>เข้า</t>
  </si>
  <si>
    <t>ออก</t>
  </si>
  <si>
    <t>ท็อปเปอร์เพื่อสุขภาพ รุ่น Marshmallow 3.5 Ft</t>
  </si>
  <si>
    <t>ท็อปเปอร์เพื่อสุขภาพ รุ่น Marshmallow 5 Ft</t>
  </si>
  <si>
    <t>ท็อปเปอร์เพื่อสุขภาพ รุ่น Marshmallow 6 Ft</t>
  </si>
  <si>
    <t>ผ้ารองที่นอนกันเปื้อน รุ่น SHIELD 3.5 Ft</t>
  </si>
  <si>
    <t>ผ้ารองที่นอนกันเปื้อน รุ่น SHIELD 5 Ft</t>
  </si>
  <si>
    <t>ผ้ารองที่นอนกันเปื้อน รุ่น SHIELD 6 Ft</t>
  </si>
  <si>
    <t>ผ้าห่ม 2 ด้าน รุ่น FlipTherm Single Size</t>
  </si>
  <si>
    <t>ผ้าห่ม 2 ด้าน รุ่น FlipTherm King Size</t>
  </si>
  <si>
    <t>ผู้ตรวจ</t>
  </si>
  <si>
    <t>ผู้ส่ง</t>
  </si>
  <si>
    <t>N/A</t>
  </si>
  <si>
    <t>B10044</t>
  </si>
  <si>
    <t>Marshmalow Memory Foam Topper 3.5FT</t>
  </si>
  <si>
    <t>B10045</t>
  </si>
  <si>
    <t>Marshmallow Memory Foam Topper 5FT</t>
  </si>
  <si>
    <t>B10046</t>
  </si>
  <si>
    <t>Marshmallow Memory Foam Topper 6FT</t>
  </si>
  <si>
    <t>B10047</t>
  </si>
  <si>
    <t>SHIELD Tencel Mattress Protector 3.5FT</t>
  </si>
  <si>
    <t>B10048</t>
  </si>
  <si>
    <t>SHIELD Tencel Mattress Protector 5FT</t>
  </si>
  <si>
    <t>B10049</t>
  </si>
  <si>
    <t>SHIELD Tencel Mattress Protector 6FT</t>
  </si>
  <si>
    <t>B10050</t>
  </si>
  <si>
    <t>FlipTherm Blanket for Bed 3-3.5FT</t>
  </si>
  <si>
    <t>B10051</t>
  </si>
  <si>
    <t>FlipTherm Blanket for Bed 5-6FT</t>
  </si>
  <si>
    <t>ชื่องาน:</t>
  </si>
  <si>
    <t>วันที่:</t>
  </si>
  <si>
    <t>โต๊ะปรับระดับไฟฟ้า รุ่น Elevio 120X60 (สีไหนก็ได้)</t>
  </si>
  <si>
    <t>โต๊ะปรับระดับไฟฟ้า รุ่น Elevio 140X70 (สีไหนก็ได้)</t>
  </si>
  <si>
    <t>โต๊ะปรับระดับไฟฟ้า รุ่น Liftio 160X108 (สีไหนก็ได้)</t>
  </si>
  <si>
    <t>โต๊ะปรับระดับไฟฟ้า รุ่น Liftio 180X108 (สีไหนก็ได้)</t>
  </si>
  <si>
    <t>โต๊ะปรับระดับ รุ่น Arise (สีไหนก็ได้)</t>
  </si>
  <si>
    <t>โต๊ะข้างปรับระดับ รุ่น Flow (สีไหนก็ได้)</t>
  </si>
  <si>
    <t>โต๊ะปรับระดับไฟฟ้า รุ่น Norm (สีไหนก็ได้)</t>
  </si>
  <si>
    <t>A10237</t>
  </si>
  <si>
    <t>ProLift Single Monitor Arm (black)</t>
  </si>
  <si>
    <t>PROLIFT SINGLE MONITOR ARM (BLACK)</t>
  </si>
  <si>
    <t>A10238</t>
  </si>
  <si>
    <t>ProLift Single Monitor Arm (white)</t>
  </si>
  <si>
    <t>PROLIFT SINGLE MONITOR ARM (WHITE)</t>
  </si>
  <si>
    <t>A10239</t>
  </si>
  <si>
    <t>ProLift Dual Monitor Arm (black)</t>
  </si>
  <si>
    <t>PROLIFT DUAL MONITOR ARM (BLACK)</t>
  </si>
  <si>
    <t>A10240</t>
  </si>
  <si>
    <t>ProLift Dual Monitor Arm (white)</t>
  </si>
  <si>
    <t>PROLIFT DUAL MONITOR ARM (WHITE)</t>
  </si>
  <si>
    <t>A10233</t>
  </si>
  <si>
    <t>FlexArm Single Monitor Arm (black)</t>
  </si>
  <si>
    <t>FLEXARM SINGLE MONITOR ARM (BLACK)</t>
  </si>
  <si>
    <t>A10234</t>
  </si>
  <si>
    <t>FlexArm Single Monitor Arm (white)</t>
  </si>
  <si>
    <t>FLEXARM SINGLE MONITOR ARM (WHITE)</t>
  </si>
  <si>
    <t>A10235</t>
  </si>
  <si>
    <t>FlexArm Dual Monitor Arm (black)</t>
  </si>
  <si>
    <t>FLEXARM DUAL MONITOR ARM (BLACK)</t>
  </si>
  <si>
    <t>A10236</t>
  </si>
  <si>
    <t>FlexArm Dual Monitor Arm (white)</t>
  </si>
  <si>
    <t>FLEXARM DUAL MONITOR ARM (WHITE)</t>
  </si>
  <si>
    <t>A10241</t>
  </si>
  <si>
    <t>Extended Laptop Holder (black)</t>
  </si>
  <si>
    <t>EXTENDED LAPTOP HOLDER (BLACK)</t>
  </si>
  <si>
    <t>A10242</t>
  </si>
  <si>
    <t>Extended Laptop Holder (white)</t>
  </si>
  <si>
    <t>EXTENDED LAPTOP HOLDER (WHITE)</t>
  </si>
  <si>
    <t>A10232</t>
  </si>
  <si>
    <t>SIT2STAND Keyboard Tray</t>
  </si>
  <si>
    <t>SIT2STAND KEYBOARD TRAY</t>
  </si>
  <si>
    <t>C10391</t>
  </si>
  <si>
    <t>Ergotrend  Ultimate Cross Grey Chair</t>
  </si>
  <si>
    <t>เก้าอี้เพื่อสุขภาพ รุ่น Ultimate Cross สีเทา</t>
  </si>
  <si>
    <t>C10392</t>
  </si>
  <si>
    <t>Ergotrend  Ultimate Cross White Chair</t>
  </si>
  <si>
    <t>เก้าอี้เพื่อสุขภาพ รุ่น Ultimate Cross สีขาว</t>
  </si>
  <si>
    <t>C10393</t>
  </si>
  <si>
    <t>Ergotrend  DynamiQ white Chair</t>
  </si>
  <si>
    <t>เก้าอี้เพื่อสุขภาพ รุ่น DynamiQ สีขาว</t>
  </si>
  <si>
    <t>B10052</t>
  </si>
  <si>
    <t>ErgoFushion Ergonomic Mattress 3.5FT</t>
  </si>
  <si>
    <t>ที่นอนเพื่อสุขภาพ รุ่น ErgoFusion 3.5 Ft</t>
  </si>
  <si>
    <t>B10053</t>
  </si>
  <si>
    <t>ErgoFushion Ergonomic Mattress 5FT</t>
  </si>
  <si>
    <t>ที่นอนเพื่อสุขภาพ รุ่น ErgoFusion 5 Ft</t>
  </si>
  <si>
    <t>B10054</t>
  </si>
  <si>
    <t>ErgoFushion Ergonomic Mattress 6FT</t>
  </si>
  <si>
    <t>ที่นอนเพื่อสุขภาพ รุ่น ErgoFusion 6 Ft</t>
  </si>
  <si>
    <t>K10143</t>
  </si>
  <si>
    <t>โต๊ะเพื่อสุขภาพ รุ่น EXPLORE</t>
  </si>
  <si>
    <t>โต๊ะเด็กเพื่อสุขภาพ รุ่น Explore</t>
  </si>
  <si>
    <t>K10144</t>
  </si>
  <si>
    <t>โต๊ะเพื่อสุขภาพ รุ่น DISCOVERY</t>
  </si>
  <si>
    <t>โต๊ะเด็กเพื่อสุขภาพ รุ่น Discovery</t>
  </si>
  <si>
    <t>K10145</t>
  </si>
  <si>
    <t>เก้าอี้เพื่อสุขภาพ รุ่น ErgoMatic Kids สีชมพู</t>
  </si>
  <si>
    <t>เก้าอี้เด็กเพื่อสุขภาพ รุ่น ErgoMatic Kids สีชมพู</t>
  </si>
  <si>
    <t>K10146</t>
  </si>
  <si>
    <t>เก้าอี้เพื่อสุขภาพ รุ่น ErgoMatic Kids สีฟ้า</t>
  </si>
  <si>
    <t>เก้าอี้เด็กเพื่อสุขภาพ รุ่น ErgoMatic Kids สีฟ้า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</si>
</sst>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IBM Plex Sans Thai Regular"/>
    </font>
    <font>
      <sz val="12"/>
      <color theme="1"/>
      <name val="IBM Plex Sans Thai Regular"/>
    </font>
    <font>
      <b/>
      <sz val="12"/>
      <color rgb="FFFF0000"/>
      <name val="IBM Plex Sans Thai Regular"/>
    </font>
    <font>
      <b/>
      <u val="double"/>
      <sz val="12"/>
      <color theme="1"/>
      <name val="IBM Plex Sans Thai Regular"/>
    </font>
    <font>
      <b/>
      <u val="double"/>
      <sz val="12"/>
      <color rgb="FFFF0000"/>
      <name val="IBM Plex Sans Thai Regular"/>
    </font>
    <font>
      <sz val="12"/>
      <color rgb="FF000000"/>
      <name val="IBM Plex Sans Thai Regula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IBM Plex Sans Thai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4E59F"/>
        <bgColor indexed="64"/>
      </patternFill>
    </fill>
    <fill>
      <patternFill patternType="solid">
        <fgColor rgb="FFCCCC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4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0" fontId="12" fillId="0" borderId="0"/>
  </cellStyleXfs>
  <cellXfs count="43">
    <xf numFmtId="0" fontId="0" fillId="0" borderId="0" xfId="0"/>
    <xf numFmtId="12" fontId="5" fillId="0" borderId="0" xfId="0" applyNumberFormat="1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12" fontId="5" fillId="3" borderId="2" xfId="0" applyNumberFormat="1" applyFont="1" applyFill="1" applyBorder="1" applyAlignment="1">
      <alignment horizontal="center" vertical="top"/>
    </xf>
    <xf numFmtId="12" fontId="8" fillId="3" borderId="2" xfId="0" applyNumberFormat="1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5" fillId="3" borderId="3" xfId="0" quotePrefix="1" applyFont="1" applyFill="1" applyBorder="1" applyAlignment="1">
      <alignment horizontal="center" vertical="top"/>
    </xf>
    <xf numFmtId="0" fontId="9" fillId="3" borderId="3" xfId="0" quotePrefix="1" applyFont="1" applyFill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10" fillId="0" borderId="0" xfId="0" applyFont="1" applyAlignment="1">
      <alignment vertical="top"/>
    </xf>
    <xf numFmtId="12" fontId="8" fillId="0" borderId="0" xfId="0" applyNumberFormat="1" applyFont="1" applyAlignment="1">
      <alignment horizontal="center" vertical="top"/>
    </xf>
    <xf numFmtId="3" fontId="0" fillId="0" borderId="0" xfId="0" applyNumberFormat="1"/>
    <xf numFmtId="4" fontId="0" fillId="0" borderId="0" xfId="0" applyNumberFormat="1"/>
    <xf numFmtId="0" fontId="11" fillId="0" borderId="0" xfId="0" applyFont="1" applyAlignment="1">
      <alignment horizontal="center"/>
    </xf>
    <xf numFmtId="0" fontId="13" fillId="0" borderId="0" xfId="8" applyFont="1" applyAlignment="1">
      <alignment vertical="center"/>
    </xf>
    <xf numFmtId="0" fontId="12" fillId="0" borderId="0" xfId="8" applyAlignment="1">
      <alignment vertical="center"/>
    </xf>
    <xf numFmtId="0" fontId="13" fillId="0" borderId="8" xfId="8" applyFont="1" applyBorder="1" applyAlignment="1">
      <alignment horizontal="center" vertical="center"/>
    </xf>
    <xf numFmtId="0" fontId="13" fillId="0" borderId="8" xfId="8" applyFont="1" applyBorder="1" applyAlignment="1">
      <alignment vertical="center"/>
    </xf>
    <xf numFmtId="0" fontId="13" fillId="0" borderId="9" xfId="8" applyFont="1" applyBorder="1" applyAlignment="1">
      <alignment vertical="center"/>
    </xf>
    <xf numFmtId="0" fontId="13" fillId="0" borderId="10" xfId="8" applyFont="1" applyBorder="1" applyAlignment="1">
      <alignment vertical="center"/>
    </xf>
    <xf numFmtId="0" fontId="13" fillId="0" borderId="11" xfId="8" applyFont="1" applyBorder="1" applyAlignment="1">
      <alignment vertical="center"/>
    </xf>
    <xf numFmtId="0" fontId="13" fillId="0" borderId="12" xfId="8" applyFont="1" applyBorder="1" applyAlignment="1">
      <alignment vertical="center"/>
    </xf>
    <xf numFmtId="0" fontId="13" fillId="0" borderId="15" xfId="8" applyFont="1" applyBorder="1" applyAlignment="1">
      <alignment vertical="center"/>
    </xf>
    <xf numFmtId="1" fontId="13" fillId="0" borderId="8" xfId="8" applyNumberFormat="1" applyFont="1" applyBorder="1" applyAlignment="1">
      <alignment horizontal="center" vertical="center"/>
    </xf>
    <xf numFmtId="49" fontId="13" fillId="0" borderId="0" xfId="8" applyNumberFormat="1" applyFont="1" applyAlignment="1">
      <alignment vertical="center"/>
    </xf>
    <xf numFmtId="49" fontId="12" fillId="0" borderId="0" xfId="8" applyNumberFormat="1" applyAlignment="1">
      <alignment vertical="center"/>
    </xf>
    <xf numFmtId="12" fontId="5" fillId="2" borderId="2" xfId="2" applyNumberFormat="1" applyFont="1" applyFill="1" applyBorder="1" applyAlignment="1">
      <alignment horizontal="center" vertical="top"/>
    </xf>
    <xf numFmtId="12" fontId="5" fillId="2" borderId="1" xfId="2" applyNumberFormat="1" applyFont="1" applyFill="1" applyBorder="1" applyAlignment="1">
      <alignment horizontal="center" vertical="top"/>
    </xf>
    <xf numFmtId="12" fontId="5" fillId="2" borderId="3" xfId="2" applyNumberFormat="1" applyFont="1" applyFill="1" applyBorder="1" applyAlignment="1">
      <alignment horizontal="center" vertical="top"/>
    </xf>
    <xf numFmtId="12" fontId="7" fillId="2" borderId="3" xfId="2" applyNumberFormat="1" applyFont="1" applyFill="1" applyBorder="1" applyAlignment="1">
      <alignment horizontal="center" vertical="top"/>
    </xf>
    <xf numFmtId="0" fontId="13" fillId="0" borderId="0" xfId="8" applyFont="1" applyAlignment="1">
      <alignment horizontal="center" vertical="center"/>
    </xf>
    <xf numFmtId="0" fontId="12" fillId="0" borderId="0" xfId="8" applyAlignment="1">
      <alignment vertical="center"/>
    </xf>
    <xf numFmtId="0" fontId="13" fillId="0" borderId="13" xfId="8" applyFont="1" applyBorder="1" applyAlignment="1">
      <alignment horizontal="center" vertical="center"/>
    </xf>
    <xf numFmtId="0" fontId="14" fillId="0" borderId="14" xfId="8" applyFont="1" applyBorder="1" applyAlignment="1">
      <alignment vertical="center"/>
    </xf>
    <xf numFmtId="0" fontId="13" fillId="0" borderId="5" xfId="8" applyFont="1" applyBorder="1" applyAlignment="1">
      <alignment horizontal="center" vertical="center"/>
    </xf>
    <xf numFmtId="0" fontId="14" fillId="0" borderId="6" xfId="8" applyFont="1" applyBorder="1" applyAlignment="1">
      <alignment vertical="center"/>
    </xf>
    <xf numFmtId="0" fontId="13" fillId="0" borderId="4" xfId="8" applyFont="1" applyBorder="1" applyAlignment="1">
      <alignment horizontal="center" vertical="center"/>
    </xf>
    <xf numFmtId="0" fontId="14" fillId="0" borderId="7" xfId="8" applyFont="1" applyBorder="1" applyAlignment="1">
      <alignment vertical="center"/>
    </xf>
  </cellXfs>
  <cellStyles count="9">
    <cellStyle name="Comma 2" xfId="7" xr:uid="{03120BFD-B3D8-4779-8D57-64AC03D514C3}"/>
    <cellStyle name="Comma 3" xfId="5" xr:uid="{91F9A442-C8F7-40C9-8599-95BA60EF1407}"/>
    <cellStyle name="Normal" xfId="0" builtinId="0"/>
    <cellStyle name="Normal 2" xfId="1" xr:uid="{E5BEDA85-95D1-4160-B4F6-6367E4A0CC57}"/>
    <cellStyle name="Normal 2 2" xfId="2" xr:uid="{64F128C4-94C6-4E16-91EC-6CD809A12861}"/>
    <cellStyle name="Normal 2 3" xfId="3" xr:uid="{6B7CD3F5-7957-474A-9297-1FD6DFCCD38B}"/>
    <cellStyle name="Normal 3" xfId="8" xr:uid="{329BA25A-BAD4-AA49-B043-991D014B8127}"/>
    <cellStyle name="Normal 4" xfId="4" xr:uid="{2CBB70F2-F572-4E1E-9754-A497C0AC6E05}"/>
    <cellStyle name="Normal 4 2" xfId="6" xr:uid="{CF6AA9F9-D2DE-48B3-8486-8EA0E3EB5E94}"/>
  </cellStyles>
  <dxfs count="0"/>
  <tableStyles count="0" defaultTableStyle="TableStyleMedium2" defaultPivotStyle="PivotStyleLight16"/>
  <colors>
    <mruColors>
      <color rgb="FFCCCCFF"/>
      <color rgb="FFC4E59F"/>
      <color rgb="FF66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2C1FD-76B4-4D9B-B968-27D1709E6871}">
  <dimension ref="A1:F32"/>
  <sheetViews>
    <sheetView tabSelected="1" zoomScale="110" zoomScaleNormal="110" zoomScaleSheetLayoutView="110" workbookViewId="0">
      <selection activeCell="J19" sqref="J19"/>
    </sheetView>
  </sheetViews>
  <sheetFormatPr baseColWidth="10" defaultColWidth="9" defaultRowHeight="21"/>
  <cols>
    <col min="1" max="1" width="10.1640625" style="12" bestFit="1" customWidth="1"/>
    <col min="2" max="2" width="10.1640625" style="12" customWidth="1"/>
    <col min="3" max="3" width="50.83203125" style="6" bestFit="1" customWidth="1"/>
    <col min="4" max="4" width="11" style="6" bestFit="1" customWidth="1"/>
    <col min="5" max="5" width="10.33203125" style="6" bestFit="1" customWidth="1"/>
    <col min="6" max="6" width="9" style="6" bestFit="1" customWidth="1"/>
    <col min="7" max="16384" width="9" style="6"/>
  </cols>
  <sheetData>
    <row r="1" spans="1:6" s="1" customFormat="1">
      <c r="A1" s="31" t="s">
        <v>0</v>
      </c>
      <c r="B1" s="31" t="s">
        <v>608</v>
      </c>
      <c r="C1" s="31" t="s">
        <v>1</v>
      </c>
      <c r="D1" s="32" t="s">
        <v>2</v>
      </c>
      <c r="E1" s="33" t="s">
        <v>3</v>
      </c>
      <c r="F1" s="34" t="s">
        <v>4</v>
      </c>
    </row>
    <row r="2" spans="1:6">
      <c r="A2" s="2">
        <v>1</v>
      </c>
      <c r="B2" s="2">
        <f>_xlfn.XLOOKUP(C2,Ref!D:D,Ref!A:A,"ไม่พบ")</f>
        <v>0</v>
      </c>
      <c r="C2" s="3"/>
      <c r="D2" s="4"/>
      <c r="E2" s="4"/>
      <c r="F2" s="5">
        <f>SUM(D2:E2)</f>
        <v>0</v>
      </c>
    </row>
    <row r="3" spans="1:6">
      <c r="A3" s="2">
        <v>2</v>
      </c>
      <c r="B3" s="2">
        <f>_xlfn.XLOOKUP(C3,Ref!D:D,Ref!A:A,"ไม่พบ")</f>
        <v>0</v>
      </c>
      <c r="C3" s="3"/>
      <c r="D3" s="4"/>
      <c r="E3" s="4"/>
      <c r="F3" s="5">
        <f t="shared" ref="F3:F26" si="0">SUM(D3:E3)</f>
        <v>0</v>
      </c>
    </row>
    <row r="4" spans="1:6">
      <c r="A4" s="2">
        <v>3</v>
      </c>
      <c r="B4" s="2">
        <f>_xlfn.XLOOKUP(C4,Ref!D:D,Ref!A:A,"ไม่พบ")</f>
        <v>0</v>
      </c>
      <c r="C4" s="3"/>
      <c r="D4" s="4"/>
      <c r="E4" s="4"/>
      <c r="F4" s="5">
        <f t="shared" si="0"/>
        <v>0</v>
      </c>
    </row>
    <row r="5" spans="1:6">
      <c r="A5" s="2">
        <v>4</v>
      </c>
      <c r="B5" s="2">
        <f>_xlfn.XLOOKUP(C5,Ref!D:D,Ref!A:A,"ไม่พบ")</f>
        <v>0</v>
      </c>
      <c r="C5" s="3"/>
      <c r="D5" s="4"/>
      <c r="E5" s="4"/>
      <c r="F5" s="5">
        <f t="shared" si="0"/>
        <v>0</v>
      </c>
    </row>
    <row r="6" spans="1:6">
      <c r="A6" s="2">
        <v>5</v>
      </c>
      <c r="B6" s="2">
        <f>_xlfn.XLOOKUP(C6,Ref!D:D,Ref!A:A,"ไม่พบ")</f>
        <v>0</v>
      </c>
      <c r="C6" s="3"/>
      <c r="D6" s="4"/>
      <c r="E6" s="4"/>
      <c r="F6" s="5">
        <f t="shared" si="0"/>
        <v>0</v>
      </c>
    </row>
    <row r="7" spans="1:6">
      <c r="A7" s="2">
        <v>6</v>
      </c>
      <c r="B7" s="2">
        <f>_xlfn.XLOOKUP(C7,Ref!D:D,Ref!A:A,"ไม่พบ")</f>
        <v>0</v>
      </c>
      <c r="C7" s="3"/>
      <c r="D7" s="4"/>
      <c r="E7" s="4"/>
      <c r="F7" s="5">
        <f t="shared" si="0"/>
        <v>0</v>
      </c>
    </row>
    <row r="8" spans="1:6">
      <c r="A8" s="2">
        <v>7</v>
      </c>
      <c r="B8" s="2">
        <f>_xlfn.XLOOKUP(C8,Ref!D:D,Ref!A:A,"ไม่พบ")</f>
        <v>0</v>
      </c>
      <c r="C8" s="3"/>
      <c r="D8" s="4"/>
      <c r="E8" s="4"/>
      <c r="F8" s="5">
        <f t="shared" si="0"/>
        <v>0</v>
      </c>
    </row>
    <row r="9" spans="1:6">
      <c r="A9" s="2">
        <v>8</v>
      </c>
      <c r="B9" s="2">
        <f>_xlfn.XLOOKUP(C9,Ref!D:D,Ref!A:A,"ไม่พบ")</f>
        <v>0</v>
      </c>
      <c r="C9" s="3"/>
      <c r="D9" s="4"/>
      <c r="E9" s="4"/>
      <c r="F9" s="5">
        <f t="shared" si="0"/>
        <v>0</v>
      </c>
    </row>
    <row r="10" spans="1:6">
      <c r="A10" s="2">
        <v>9</v>
      </c>
      <c r="B10" s="2">
        <f>_xlfn.XLOOKUP(C10,Ref!D:D,Ref!A:A,"ไม่พบ")</f>
        <v>0</v>
      </c>
      <c r="C10" s="3"/>
      <c r="D10" s="4"/>
      <c r="E10" s="4"/>
      <c r="F10" s="5">
        <f t="shared" si="0"/>
        <v>0</v>
      </c>
    </row>
    <row r="11" spans="1:6">
      <c r="A11" s="2">
        <v>10</v>
      </c>
      <c r="B11" s="2">
        <f>_xlfn.XLOOKUP(C11,Ref!D:D,Ref!A:A,"ไม่พบ")</f>
        <v>0</v>
      </c>
      <c r="C11" s="3"/>
      <c r="D11" s="4"/>
      <c r="E11" s="4"/>
      <c r="F11" s="5">
        <f t="shared" si="0"/>
        <v>0</v>
      </c>
    </row>
    <row r="12" spans="1:6">
      <c r="A12" s="2">
        <v>11</v>
      </c>
      <c r="B12" s="2">
        <f>_xlfn.XLOOKUP(C12,Ref!D:D,Ref!A:A,"ไม่พบ")</f>
        <v>0</v>
      </c>
      <c r="C12" s="3"/>
      <c r="D12" s="4"/>
      <c r="E12" s="4"/>
      <c r="F12" s="5">
        <f t="shared" si="0"/>
        <v>0</v>
      </c>
    </row>
    <row r="13" spans="1:6">
      <c r="A13" s="2">
        <v>12</v>
      </c>
      <c r="B13" s="2">
        <f>_xlfn.XLOOKUP(C13,Ref!D:D,Ref!A:A,"ไม่พบ")</f>
        <v>0</v>
      </c>
      <c r="C13" s="3"/>
      <c r="D13" s="4"/>
      <c r="E13" s="4"/>
      <c r="F13" s="5">
        <f t="shared" si="0"/>
        <v>0</v>
      </c>
    </row>
    <row r="14" spans="1:6">
      <c r="A14" s="2">
        <v>13</v>
      </c>
      <c r="B14" s="2">
        <f>_xlfn.XLOOKUP(C14,Ref!D:D,Ref!A:A,"ไม่พบ")</f>
        <v>0</v>
      </c>
      <c r="C14" s="3"/>
      <c r="D14" s="4"/>
      <c r="E14" s="4"/>
      <c r="F14" s="5">
        <f t="shared" si="0"/>
        <v>0</v>
      </c>
    </row>
    <row r="15" spans="1:6">
      <c r="A15" s="2">
        <v>14</v>
      </c>
      <c r="B15" s="2">
        <f>_xlfn.XLOOKUP(C15,Ref!D:D,Ref!A:A,"ไม่พบ")</f>
        <v>0</v>
      </c>
      <c r="C15" s="3"/>
      <c r="D15" s="4"/>
      <c r="E15" s="4"/>
      <c r="F15" s="5">
        <f t="shared" si="0"/>
        <v>0</v>
      </c>
    </row>
    <row r="16" spans="1:6">
      <c r="A16" s="2">
        <v>15</v>
      </c>
      <c r="B16" s="2">
        <f>_xlfn.XLOOKUP(C16,Ref!D:D,Ref!A:A,"ไม่พบ")</f>
        <v>0</v>
      </c>
      <c r="C16" s="3"/>
      <c r="D16" s="4"/>
      <c r="E16" s="4"/>
      <c r="F16" s="5">
        <f t="shared" si="0"/>
        <v>0</v>
      </c>
    </row>
    <row r="17" spans="1:6">
      <c r="A17" s="2">
        <v>16</v>
      </c>
      <c r="B17" s="2">
        <f>_xlfn.XLOOKUP(C17,Ref!D:D,Ref!A:A,"ไม่พบ")</f>
        <v>0</v>
      </c>
      <c r="C17" s="3"/>
      <c r="D17" s="4"/>
      <c r="E17" s="4"/>
      <c r="F17" s="5">
        <f t="shared" si="0"/>
        <v>0</v>
      </c>
    </row>
    <row r="18" spans="1:6">
      <c r="A18" s="2">
        <v>17</v>
      </c>
      <c r="B18" s="2">
        <f>_xlfn.XLOOKUP(C18,Ref!D:D,Ref!A:A,"ไม่พบ")</f>
        <v>0</v>
      </c>
      <c r="C18" s="3"/>
      <c r="D18" s="4"/>
      <c r="E18" s="4"/>
      <c r="F18" s="5">
        <f t="shared" si="0"/>
        <v>0</v>
      </c>
    </row>
    <row r="19" spans="1:6">
      <c r="A19" s="2">
        <v>18</v>
      </c>
      <c r="B19" s="2">
        <f>_xlfn.XLOOKUP(C19,Ref!D:D,Ref!A:A,"ไม่พบ")</f>
        <v>0</v>
      </c>
      <c r="C19" s="3"/>
      <c r="D19" s="4"/>
      <c r="E19" s="4"/>
      <c r="F19" s="5">
        <f t="shared" si="0"/>
        <v>0</v>
      </c>
    </row>
    <row r="20" spans="1:6">
      <c r="A20" s="2">
        <v>19</v>
      </c>
      <c r="B20" s="2">
        <f>_xlfn.XLOOKUP(C20,Ref!D:D,Ref!A:A,"ไม่พบ")</f>
        <v>0</v>
      </c>
      <c r="C20" s="3"/>
      <c r="D20" s="4"/>
      <c r="E20" s="4"/>
      <c r="F20" s="5">
        <f t="shared" si="0"/>
        <v>0</v>
      </c>
    </row>
    <row r="21" spans="1:6">
      <c r="A21" s="2">
        <v>20</v>
      </c>
      <c r="B21" s="2">
        <f>_xlfn.XLOOKUP(C21,Ref!D:D,Ref!A:A,"ไม่พบ")</f>
        <v>0</v>
      </c>
      <c r="C21" s="3"/>
      <c r="D21" s="4"/>
      <c r="E21" s="4"/>
      <c r="F21" s="5">
        <f t="shared" si="0"/>
        <v>0</v>
      </c>
    </row>
    <row r="22" spans="1:6">
      <c r="A22" s="2">
        <v>21</v>
      </c>
      <c r="B22" s="2">
        <f>_xlfn.XLOOKUP(C22,Ref!D:D,Ref!A:A,"ไม่พบ")</f>
        <v>0</v>
      </c>
      <c r="C22" s="3"/>
      <c r="D22" s="4"/>
      <c r="E22" s="4"/>
      <c r="F22" s="5">
        <f t="shared" si="0"/>
        <v>0</v>
      </c>
    </row>
    <row r="23" spans="1:6">
      <c r="A23" s="2">
        <v>22</v>
      </c>
      <c r="B23" s="2">
        <f>_xlfn.XLOOKUP(C23,Ref!D:D,Ref!A:A,"ไม่พบ")</f>
        <v>0</v>
      </c>
      <c r="C23" s="3"/>
      <c r="D23" s="4"/>
      <c r="E23" s="4"/>
      <c r="F23" s="5">
        <f t="shared" si="0"/>
        <v>0</v>
      </c>
    </row>
    <row r="24" spans="1:6">
      <c r="A24" s="2">
        <v>23</v>
      </c>
      <c r="B24" s="2">
        <f>_xlfn.XLOOKUP(C24,Ref!D:D,Ref!A:A,"ไม่พบ")</f>
        <v>0</v>
      </c>
      <c r="C24" s="3"/>
      <c r="D24" s="4"/>
      <c r="E24" s="4"/>
      <c r="F24" s="5">
        <f t="shared" si="0"/>
        <v>0</v>
      </c>
    </row>
    <row r="25" spans="1:6">
      <c r="A25" s="2">
        <v>24</v>
      </c>
      <c r="B25" s="2">
        <f>_xlfn.XLOOKUP(C25,Ref!D:D,Ref!A:A,"ไม่พบ")</f>
        <v>0</v>
      </c>
      <c r="C25" s="3"/>
      <c r="D25" s="4"/>
      <c r="E25" s="4"/>
      <c r="F25" s="5">
        <f t="shared" si="0"/>
        <v>0</v>
      </c>
    </row>
    <row r="26" spans="1:6">
      <c r="A26" s="2">
        <v>25</v>
      </c>
      <c r="B26" s="2">
        <f>_xlfn.XLOOKUP(C26,Ref!D:D,Ref!A:A,"ไม่พบ")</f>
        <v>0</v>
      </c>
      <c r="C26" s="3"/>
      <c r="D26" s="4"/>
      <c r="E26" s="4"/>
      <c r="F26" s="5">
        <f t="shared" si="0"/>
        <v>0</v>
      </c>
    </row>
    <row r="27" spans="1:6" s="1" customFormat="1" ht="19.5" customHeight="1">
      <c r="A27" s="7"/>
      <c r="B27" s="7"/>
      <c r="C27" s="8" t="s">
        <v>5</v>
      </c>
      <c r="D27" s="9">
        <f>SUM(D2:D26)</f>
        <v>0</v>
      </c>
      <c r="E27" s="10">
        <f>SUM(E2:E26)</f>
        <v>0</v>
      </c>
      <c r="F27" s="11">
        <f>SUM(F2:F26)</f>
        <v>0</v>
      </c>
    </row>
    <row r="29" spans="1:6">
      <c r="C29" s="14" t="s">
        <v>645</v>
      </c>
    </row>
    <row r="30" spans="1:6">
      <c r="C30" s="14" t="s">
        <v>646</v>
      </c>
    </row>
    <row r="31" spans="1:6">
      <c r="C31" s="13" t="s">
        <v>7</v>
      </c>
    </row>
    <row r="32" spans="1:6">
      <c r="C32" s="14" t="s">
        <v>6</v>
      </c>
    </row>
  </sheetData>
  <pageMargins left="0.51181102362204722" right="0" top="0.70866141732283472" bottom="0" header="0.43307086614173229" footer="0.31496062992125984"/>
  <pageSetup paperSize="9" scale="98" orientation="portrait" r:id="rId1"/>
  <colBreaks count="1" manualBreakCount="1">
    <brk id="6" max="1048575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2C6F4C-10FE-A446-82A2-3CF59FDF7744}">
          <x14:formula1>
            <xm:f>Ref!$D:$D</xm:f>
          </x14:formula1>
          <xm:sqref>C2:C26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1EBF-ABBD-8F4C-96AD-0492190E12F3}">
  <dimension ref="A1:F36"/>
  <sheetViews>
    <sheetView zoomScale="110" zoomScaleNormal="110" zoomScaleSheetLayoutView="110" workbookViewId="0">
      <selection activeCell="N6" sqref="N6"/>
    </sheetView>
  </sheetViews>
  <sheetFormatPr baseColWidth="10" defaultColWidth="9" defaultRowHeight="21"/>
  <cols>
    <col min="1" max="1" width="10.1640625" style="12" bestFit="1" customWidth="1"/>
    <col min="2" max="2" width="10.1640625" style="12" customWidth="1"/>
    <col min="3" max="3" width="50.83203125" style="6" bestFit="1" customWidth="1"/>
    <col min="4" max="4" width="11" style="6" bestFit="1" customWidth="1"/>
    <col min="5" max="5" width="10.33203125" style="6" bestFit="1" customWidth="1"/>
    <col min="6" max="6" width="9" style="6" bestFit="1" customWidth="1"/>
    <col min="7" max="16384" width="9" style="6"/>
  </cols>
  <sheetData>
    <row r="1" spans="1:6" s="1" customFormat="1">
      <c r="A1" s="31" t="s">
        <v>0</v>
      </c>
      <c r="B1" s="31" t="s">
        <v>608</v>
      </c>
      <c r="C1" s="31" t="s">
        <v>1</v>
      </c>
      <c r="D1" s="32" t="s">
        <v>2</v>
      </c>
      <c r="E1" s="33" t="s">
        <v>3</v>
      </c>
      <c r="F1" s="34" t="s">
        <v>4</v>
      </c>
    </row>
    <row r="2" spans="1:6">
      <c r="A2" s="2">
        <v>1</v>
      </c>
      <c r="B2" s="2">
        <f>_xlfn.XLOOKUP(C2,Ref!D:D,Ref!A:A,"ไม่พบ")</f>
        <v>0</v>
      </c>
      <c r="C2" s="3"/>
      <c r="D2" s="4"/>
      <c r="E2" s="4"/>
      <c r="F2" s="5">
        <f>SUM(D2:E2)</f>
        <v>0</v>
      </c>
    </row>
    <row r="3" spans="1:6">
      <c r="A3" s="2">
        <v>2</v>
      </c>
      <c r="B3" s="2">
        <f>_xlfn.XLOOKUP(C3,Ref!D:D,Ref!A:A,"ไม่พบ")</f>
        <v>0</v>
      </c>
      <c r="C3" s="3"/>
      <c r="D3" s="4"/>
      <c r="E3" s="4"/>
      <c r="F3" s="5">
        <f t="shared" ref="F3:F26" si="0">SUM(D3:E3)</f>
        <v>0</v>
      </c>
    </row>
    <row r="4" spans="1:6">
      <c r="A4" s="2">
        <v>3</v>
      </c>
      <c r="B4" s="2">
        <f>_xlfn.XLOOKUP(C4,Ref!D:D,Ref!A:A,"ไม่พบ")</f>
        <v>0</v>
      </c>
      <c r="C4" s="3"/>
      <c r="D4" s="4"/>
      <c r="E4" s="4"/>
      <c r="F4" s="5">
        <f t="shared" si="0"/>
        <v>0</v>
      </c>
    </row>
    <row r="5" spans="1:6">
      <c r="A5" s="2">
        <v>4</v>
      </c>
      <c r="B5" s="2">
        <f>_xlfn.XLOOKUP(C5,Ref!D:D,Ref!A:A,"ไม่พบ")</f>
        <v>0</v>
      </c>
      <c r="C5" s="3"/>
      <c r="D5" s="4"/>
      <c r="E5" s="4"/>
      <c r="F5" s="5">
        <f t="shared" si="0"/>
        <v>0</v>
      </c>
    </row>
    <row r="6" spans="1:6">
      <c r="A6" s="2">
        <v>5</v>
      </c>
      <c r="B6" s="2">
        <f>_xlfn.XLOOKUP(C6,Ref!D:D,Ref!A:A,"ไม่พบ")</f>
        <v>0</v>
      </c>
      <c r="C6" s="3"/>
      <c r="D6" s="4"/>
      <c r="E6" s="4"/>
      <c r="F6" s="5">
        <f t="shared" si="0"/>
        <v>0</v>
      </c>
    </row>
    <row r="7" spans="1:6">
      <c r="A7" s="2">
        <v>6</v>
      </c>
      <c r="B7" s="2">
        <f>_xlfn.XLOOKUP(C7,Ref!D:D,Ref!A:A,"ไม่พบ")</f>
        <v>0</v>
      </c>
      <c r="C7" s="3"/>
      <c r="D7" s="4"/>
      <c r="E7" s="4"/>
      <c r="F7" s="5">
        <f t="shared" si="0"/>
        <v>0</v>
      </c>
    </row>
    <row r="8" spans="1:6">
      <c r="A8" s="2">
        <v>7</v>
      </c>
      <c r="B8" s="2">
        <f>_xlfn.XLOOKUP(C8,Ref!D:D,Ref!A:A,"ไม่พบ")</f>
        <v>0</v>
      </c>
      <c r="C8" s="3"/>
      <c r="D8" s="4"/>
      <c r="E8" s="4"/>
      <c r="F8" s="5">
        <f t="shared" si="0"/>
        <v>0</v>
      </c>
    </row>
    <row r="9" spans="1:6">
      <c r="A9" s="2">
        <v>8</v>
      </c>
      <c r="B9" s="2">
        <f>_xlfn.XLOOKUP(C9,Ref!D:D,Ref!A:A,"ไม่พบ")</f>
        <v>0</v>
      </c>
      <c r="C9" s="3"/>
      <c r="D9" s="4"/>
      <c r="E9" s="4"/>
      <c r="F9" s="5">
        <f t="shared" si="0"/>
        <v>0</v>
      </c>
    </row>
    <row r="10" spans="1:6">
      <c r="A10" s="2">
        <v>9</v>
      </c>
      <c r="B10" s="2">
        <f>_xlfn.XLOOKUP(C10,Ref!D:D,Ref!A:A,"ไม่พบ")</f>
        <v>0</v>
      </c>
      <c r="C10" s="3"/>
      <c r="D10" s="4"/>
      <c r="E10" s="4"/>
      <c r="F10" s="5">
        <f t="shared" si="0"/>
        <v>0</v>
      </c>
    </row>
    <row r="11" spans="1:6">
      <c r="A11" s="2">
        <v>10</v>
      </c>
      <c r="B11" s="2">
        <f>_xlfn.XLOOKUP(C11,Ref!D:D,Ref!A:A,"ไม่พบ")</f>
        <v>0</v>
      </c>
      <c r="C11" s="3"/>
      <c r="D11" s="4"/>
      <c r="E11" s="4"/>
      <c r="F11" s="5">
        <f t="shared" si="0"/>
        <v>0</v>
      </c>
    </row>
    <row r="12" spans="1:6">
      <c r="A12" s="2">
        <v>11</v>
      </c>
      <c r="B12" s="2">
        <f>_xlfn.XLOOKUP(C12,Ref!D:D,Ref!A:A,"ไม่พบ")</f>
        <v>0</v>
      </c>
      <c r="C12" s="3"/>
      <c r="D12" s="4"/>
      <c r="E12" s="4"/>
      <c r="F12" s="5">
        <f t="shared" si="0"/>
        <v>0</v>
      </c>
    </row>
    <row r="13" spans="1:6">
      <c r="A13" s="2">
        <v>12</v>
      </c>
      <c r="B13" s="2">
        <f>_xlfn.XLOOKUP(C13,Ref!D:D,Ref!A:A,"ไม่พบ")</f>
        <v>0</v>
      </c>
      <c r="C13" s="3"/>
      <c r="D13" s="4"/>
      <c r="E13" s="4"/>
      <c r="F13" s="5">
        <f t="shared" si="0"/>
        <v>0</v>
      </c>
    </row>
    <row r="14" spans="1:6">
      <c r="A14" s="2">
        <v>13</v>
      </c>
      <c r="B14" s="2">
        <f>_xlfn.XLOOKUP(C14,Ref!D:D,Ref!A:A,"ไม่พบ")</f>
        <v>0</v>
      </c>
      <c r="C14" s="3"/>
      <c r="D14" s="4"/>
      <c r="E14" s="4"/>
      <c r="F14" s="5">
        <f t="shared" si="0"/>
        <v>0</v>
      </c>
    </row>
    <row r="15" spans="1:6">
      <c r="A15" s="2">
        <v>14</v>
      </c>
      <c r="B15" s="2">
        <f>_xlfn.XLOOKUP(C15,Ref!D:D,Ref!A:A,"ไม่พบ")</f>
        <v>0</v>
      </c>
      <c r="C15" s="3"/>
      <c r="D15" s="4"/>
      <c r="E15" s="4"/>
      <c r="F15" s="5">
        <f t="shared" si="0"/>
        <v>0</v>
      </c>
    </row>
    <row r="16" spans="1:6">
      <c r="A16" s="2">
        <v>15</v>
      </c>
      <c r="B16" s="2">
        <f>_xlfn.XLOOKUP(C16,Ref!D:D,Ref!A:A,"ไม่พบ")</f>
        <v>0</v>
      </c>
      <c r="C16" s="3"/>
      <c r="D16" s="4"/>
      <c r="E16" s="4"/>
      <c r="F16" s="5">
        <f t="shared" si="0"/>
        <v>0</v>
      </c>
    </row>
    <row r="17" spans="1:6">
      <c r="A17" s="2">
        <v>16</v>
      </c>
      <c r="B17" s="2">
        <f>_xlfn.XLOOKUP(C17,Ref!D:D,Ref!A:A,"ไม่พบ")</f>
        <v>0</v>
      </c>
      <c r="C17" s="3"/>
      <c r="D17" s="4"/>
      <c r="E17" s="4"/>
      <c r="F17" s="5">
        <f t="shared" si="0"/>
        <v>0</v>
      </c>
    </row>
    <row r="18" spans="1:6">
      <c r="A18" s="2">
        <v>17</v>
      </c>
      <c r="B18" s="2">
        <f>_xlfn.XLOOKUP(C18,Ref!D:D,Ref!A:A,"ไม่พบ")</f>
        <v>0</v>
      </c>
      <c r="C18" s="3"/>
      <c r="D18" s="4"/>
      <c r="E18" s="4"/>
      <c r="F18" s="5">
        <f t="shared" si="0"/>
        <v>0</v>
      </c>
    </row>
    <row r="19" spans="1:6">
      <c r="A19" s="2">
        <v>18</v>
      </c>
      <c r="B19" s="2">
        <f>_xlfn.XLOOKUP(C19,Ref!D:D,Ref!A:A,"ไม่พบ")</f>
        <v>0</v>
      </c>
      <c r="C19" s="3"/>
      <c r="D19" s="4"/>
      <c r="E19" s="4"/>
      <c r="F19" s="5">
        <f t="shared" si="0"/>
        <v>0</v>
      </c>
    </row>
    <row r="20" spans="1:6">
      <c r="A20" s="2">
        <v>19</v>
      </c>
      <c r="B20" s="2">
        <f>_xlfn.XLOOKUP(C20,Ref!D:D,Ref!A:A,"ไม่พบ")</f>
        <v>0</v>
      </c>
      <c r="C20" s="3"/>
      <c r="D20" s="4"/>
      <c r="E20" s="4"/>
      <c r="F20" s="5">
        <f t="shared" si="0"/>
        <v>0</v>
      </c>
    </row>
    <row r="21" spans="1:6">
      <c r="A21" s="2">
        <v>20</v>
      </c>
      <c r="B21" s="2">
        <f>_xlfn.XLOOKUP(C21,Ref!D:D,Ref!A:A,"ไม่พบ")</f>
        <v>0</v>
      </c>
      <c r="C21" s="3"/>
      <c r="D21" s="4"/>
      <c r="E21" s="4"/>
      <c r="F21" s="5">
        <f t="shared" si="0"/>
        <v>0</v>
      </c>
    </row>
    <row r="22" spans="1:6">
      <c r="A22" s="2">
        <v>21</v>
      </c>
      <c r="B22" s="2">
        <f>_xlfn.XLOOKUP(C22,Ref!D:D,Ref!A:A,"ไม่พบ")</f>
        <v>0</v>
      </c>
      <c r="C22" s="3"/>
      <c r="D22" s="4"/>
      <c r="E22" s="4"/>
      <c r="F22" s="5">
        <f t="shared" si="0"/>
        <v>0</v>
      </c>
    </row>
    <row r="23" spans="1:6">
      <c r="A23" s="2">
        <v>22</v>
      </c>
      <c r="B23" s="2">
        <f>_xlfn.XLOOKUP(C23,Ref!D:D,Ref!A:A,"ไม่พบ")</f>
        <v>0</v>
      </c>
      <c r="C23" s="3"/>
      <c r="D23" s="4"/>
      <c r="E23" s="4"/>
      <c r="F23" s="5">
        <f t="shared" si="0"/>
        <v>0</v>
      </c>
    </row>
    <row r="24" spans="1:6">
      <c r="A24" s="2">
        <v>23</v>
      </c>
      <c r="B24" s="2">
        <f>_xlfn.XLOOKUP(C24,Ref!D:D,Ref!A:A,"ไม่พบ")</f>
        <v>0</v>
      </c>
      <c r="C24" s="3"/>
      <c r="D24" s="4"/>
      <c r="E24" s="4"/>
      <c r="F24" s="5">
        <f t="shared" si="0"/>
        <v>0</v>
      </c>
    </row>
    <row r="25" spans="1:6">
      <c r="A25" s="2">
        <v>24</v>
      </c>
      <c r="B25" s="2">
        <f>_xlfn.XLOOKUP(C25,Ref!D:D,Ref!A:A,"ไม่พบ")</f>
        <v>0</v>
      </c>
      <c r="C25" s="3"/>
      <c r="D25" s="4"/>
      <c r="E25" s="4"/>
      <c r="F25" s="5">
        <f t="shared" si="0"/>
        <v>0</v>
      </c>
    </row>
    <row r="26" spans="1:6">
      <c r="A26" s="2">
        <v>25</v>
      </c>
      <c r="B26" s="2">
        <f>_xlfn.XLOOKUP(C26,Ref!D:D,Ref!A:A,"ไม่พบ")</f>
        <v>0</v>
      </c>
      <c r="C26" s="3"/>
      <c r="D26" s="4"/>
      <c r="E26" s="4"/>
      <c r="F26" s="5">
        <f t="shared" si="0"/>
        <v>0</v>
      </c>
    </row>
    <row r="27" spans="1:6" s="1" customFormat="1" ht="19.5" customHeight="1">
      <c r="A27" s="7"/>
      <c r="B27" s="7"/>
      <c r="C27" s="8" t="s">
        <v>5</v>
      </c>
      <c r="D27" s="9">
        <f>SUM(D2:D26)</f>
        <v>0</v>
      </c>
      <c r="E27" s="10">
        <f>SUM(E2:E26)</f>
        <v>0</v>
      </c>
      <c r="F27" s="11">
        <f>SUM(F2:F26)</f>
        <v>0</v>
      </c>
    </row>
    <row r="28" spans="1:6">
      <c r="C28" s="15"/>
    </row>
    <row r="29" spans="1:6">
      <c r="C29" s="13" t="s">
        <v>645</v>
      </c>
    </row>
    <row r="30" spans="1:6">
      <c r="C30" s="13" t="s">
        <v>8</v>
      </c>
    </row>
    <row r="31" spans="1:6">
      <c r="C31" s="13" t="s">
        <v>9</v>
      </c>
    </row>
    <row r="32" spans="1:6">
      <c r="C32" s="13" t="s">
        <v>10</v>
      </c>
    </row>
    <row r="33" spans="3:3">
      <c r="C33" s="13" t="s">
        <v>11</v>
      </c>
    </row>
    <row r="34" spans="3:3">
      <c r="C34" s="13" t="s">
        <v>12</v>
      </c>
    </row>
    <row r="35" spans="3:3">
      <c r="C35" s="13" t="s">
        <v>7</v>
      </c>
    </row>
    <row r="36" spans="3:3">
      <c r="C36" s="14" t="s">
        <v>6</v>
      </c>
    </row>
  </sheetData>
  <pageMargins left="0.51181102362204722" right="0" top="0.70866141732283472" bottom="0" header="0.43307086614173229" footer="0.31496062992125984"/>
  <pageSetup paperSize="9" scale="98" orientation="portrait" r:id="rId1"/>
  <colBreaks count="1" manualBreakCount="1">
    <brk id="6" max="1048575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E2B997-7250-BD43-AE53-38D7CE54ECF7}">
          <x14:formula1>
            <xm:f>Ref!$D:$D</xm:f>
          </x14:formula1>
          <xm:sqref>C2:C26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00EB-E98C-D34E-BA13-B2DB8E93F7BC}">
  <sheetPr>
    <outlinePr summaryBelow="0" summaryRight="0"/>
  </sheetPr>
  <dimension ref="A1:AB1006"/>
  <sheetViews>
    <sheetView workbookViewId="0">
      <selection activeCell="C25" sqref="C25"/>
    </sheetView>
  </sheetViews>
  <sheetFormatPr baseColWidth="10" defaultColWidth="12.6640625" defaultRowHeight="15.75" customHeight="1"/>
  <cols>
    <col min="1" max="1" width="4.5" style="20" customWidth="1"/>
    <col min="2" max="2" width="11.33203125" style="30" customWidth="1"/>
    <col min="3" max="3" width="39.6640625" style="20" customWidth="1"/>
    <col min="4" max="4" width="5.6640625" style="20" customWidth="1"/>
    <col min="5" max="28" width="5.1640625" style="20" customWidth="1"/>
    <col min="29" max="16384" width="12.6640625" style="20"/>
  </cols>
  <sheetData>
    <row r="1" spans="1:28" ht="15.75" customHeight="1">
      <c r="A1" s="19" t="s">
        <v>609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ht="15.75" customHeight="1">
      <c r="A2" s="19" t="s">
        <v>610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ht="15.75" customHeight="1">
      <c r="A3" s="19" t="s">
        <v>611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ht="16" customHeight="1">
      <c r="A4" s="41" t="s">
        <v>0</v>
      </c>
      <c r="B4" s="41" t="s">
        <v>612</v>
      </c>
      <c r="C4" s="41" t="s">
        <v>613</v>
      </c>
      <c r="D4" s="41" t="s">
        <v>614</v>
      </c>
      <c r="E4" s="39" t="s">
        <v>615</v>
      </c>
      <c r="F4" s="40"/>
      <c r="G4" s="39" t="s">
        <v>615</v>
      </c>
      <c r="H4" s="40"/>
      <c r="I4" s="39" t="s">
        <v>615</v>
      </c>
      <c r="J4" s="40"/>
      <c r="K4" s="39" t="s">
        <v>615</v>
      </c>
      <c r="L4" s="40"/>
      <c r="M4" s="39" t="s">
        <v>615</v>
      </c>
      <c r="N4" s="40"/>
      <c r="O4" s="39" t="s">
        <v>615</v>
      </c>
      <c r="P4" s="40"/>
      <c r="Q4" s="39" t="s">
        <v>615</v>
      </c>
      <c r="R4" s="40"/>
      <c r="S4" s="39" t="s">
        <v>615</v>
      </c>
      <c r="T4" s="40"/>
      <c r="U4" s="39" t="s">
        <v>615</v>
      </c>
      <c r="V4" s="40"/>
      <c r="W4" s="39" t="s">
        <v>615</v>
      </c>
      <c r="X4" s="40"/>
      <c r="Y4" s="39" t="s">
        <v>615</v>
      </c>
      <c r="Z4" s="40"/>
      <c r="AA4" s="39" t="s">
        <v>615</v>
      </c>
      <c r="AB4" s="40"/>
    </row>
    <row r="5" spans="1:28" ht="16" customHeight="1">
      <c r="A5" s="42"/>
      <c r="B5" s="42"/>
      <c r="C5" s="42"/>
      <c r="D5" s="42"/>
      <c r="E5" s="21" t="s">
        <v>616</v>
      </c>
      <c r="F5" s="21" t="s">
        <v>617</v>
      </c>
      <c r="G5" s="21" t="s">
        <v>616</v>
      </c>
      <c r="H5" s="21" t="s">
        <v>617</v>
      </c>
      <c r="I5" s="21" t="s">
        <v>616</v>
      </c>
      <c r="J5" s="21" t="s">
        <v>617</v>
      </c>
      <c r="K5" s="21" t="s">
        <v>616</v>
      </c>
      <c r="L5" s="21" t="s">
        <v>617</v>
      </c>
      <c r="M5" s="21" t="s">
        <v>616</v>
      </c>
      <c r="N5" s="21" t="s">
        <v>617</v>
      </c>
      <c r="O5" s="21" t="s">
        <v>616</v>
      </c>
      <c r="P5" s="21" t="s">
        <v>617</v>
      </c>
      <c r="Q5" s="21" t="s">
        <v>616</v>
      </c>
      <c r="R5" s="21" t="s">
        <v>617</v>
      </c>
      <c r="S5" s="21" t="s">
        <v>616</v>
      </c>
      <c r="T5" s="21" t="s">
        <v>617</v>
      </c>
      <c r="U5" s="21" t="s">
        <v>616</v>
      </c>
      <c r="V5" s="21" t="s">
        <v>617</v>
      </c>
      <c r="W5" s="21" t="s">
        <v>616</v>
      </c>
      <c r="X5" s="21" t="s">
        <v>617</v>
      </c>
      <c r="Y5" s="21" t="s">
        <v>616</v>
      </c>
      <c r="Z5" s="21" t="s">
        <v>617</v>
      </c>
      <c r="AA5" s="21" t="s">
        <v>616</v>
      </c>
      <c r="AB5" s="21" t="s">
        <v>617</v>
      </c>
    </row>
    <row r="6" spans="1:28" ht="16" customHeight="1">
      <c r="A6" s="21">
        <v>1</v>
      </c>
      <c r="B6" s="28">
        <f>_xlfn.XLOOKUP(A6,Event!A:A,Event!B:B," ")</f>
        <v>0</v>
      </c>
      <c r="C6" s="22">
        <f>_xlfn.XLOOKUP(A6,Event!A:A,Event!C:C," ")</f>
        <v>0</v>
      </c>
      <c r="D6" s="22">
        <f>_xlfn.XLOOKUP(A6,Event!A:A,Event!E:E," ")</f>
        <v>0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6" customHeight="1">
      <c r="A7" s="21">
        <v>2</v>
      </c>
      <c r="B7" s="28">
        <f>_xlfn.XLOOKUP(A7,Event!A:A,Event!B:B," ")</f>
        <v>0</v>
      </c>
      <c r="C7" s="22">
        <f>_xlfn.XLOOKUP(A7,Event!A:A,Event!C:C," ")</f>
        <v>0</v>
      </c>
      <c r="D7" s="22">
        <f>_xlfn.XLOOKUP(A7,Event!A:A,Event!E:E," ")</f>
        <v>0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6" customHeight="1">
      <c r="A8" s="21">
        <v>3</v>
      </c>
      <c r="B8" s="28">
        <f>_xlfn.XLOOKUP(A8,Event!A:A,Event!B:B," ")</f>
        <v>0</v>
      </c>
      <c r="C8" s="22">
        <f>_xlfn.XLOOKUP(A8,Event!A:A,Event!C:C," ")</f>
        <v>0</v>
      </c>
      <c r="D8" s="22">
        <f>_xlfn.XLOOKUP(A8,Event!A:A,Event!E:E," ")</f>
        <v>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6" customHeight="1">
      <c r="A9" s="21">
        <v>4</v>
      </c>
      <c r="B9" s="28">
        <f>_xlfn.XLOOKUP(A9,Event!A:A,Event!B:B," ")</f>
        <v>0</v>
      </c>
      <c r="C9" s="22">
        <f>_xlfn.XLOOKUP(A9,Event!A:A,Event!C:C," ")</f>
        <v>0</v>
      </c>
      <c r="D9" s="22">
        <f>_xlfn.XLOOKUP(A9,Event!A:A,Event!E:E," ")</f>
        <v>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6" customHeight="1">
      <c r="A10" s="21">
        <v>5</v>
      </c>
      <c r="B10" s="28">
        <f>_xlfn.XLOOKUP(A10,Event!A:A,Event!B:B," ")</f>
        <v>0</v>
      </c>
      <c r="C10" s="22">
        <f>_xlfn.XLOOKUP(A10,Event!A:A,Event!C:C," ")</f>
        <v>0</v>
      </c>
      <c r="D10" s="22">
        <f>_xlfn.XLOOKUP(A10,Event!A:A,Event!E:E," ")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6" customHeight="1">
      <c r="A11" s="21">
        <v>6</v>
      </c>
      <c r="B11" s="28">
        <f>_xlfn.XLOOKUP(A11,Event!A:A,Event!B:B," ")</f>
        <v>0</v>
      </c>
      <c r="C11" s="22">
        <f>_xlfn.XLOOKUP(A11,Event!A:A,Event!C:C," ")</f>
        <v>0</v>
      </c>
      <c r="D11" s="22">
        <f>_xlfn.XLOOKUP(A11,Event!A:A,Event!E:E," ")</f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6" customHeight="1">
      <c r="A12" s="21">
        <v>7</v>
      </c>
      <c r="B12" s="28">
        <f>_xlfn.XLOOKUP(A12,Event!A:A,Event!B:B," ")</f>
        <v>0</v>
      </c>
      <c r="C12" s="22">
        <f>_xlfn.XLOOKUP(A12,Event!A:A,Event!C:C," ")</f>
        <v>0</v>
      </c>
      <c r="D12" s="22">
        <f>_xlfn.XLOOKUP(A12,Event!A:A,Event!E:E," ")</f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6" customHeight="1">
      <c r="A13" s="21">
        <v>8</v>
      </c>
      <c r="B13" s="28">
        <f>_xlfn.XLOOKUP(A13,Event!A:A,Event!B:B," ")</f>
        <v>0</v>
      </c>
      <c r="C13" s="22">
        <f>_xlfn.XLOOKUP(A13,Event!A:A,Event!C:C," ")</f>
        <v>0</v>
      </c>
      <c r="D13" s="22">
        <f>_xlfn.XLOOKUP(A13,Event!A:A,Event!E:E," ")</f>
        <v>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6" customHeight="1">
      <c r="A14" s="21">
        <v>9</v>
      </c>
      <c r="B14" s="28">
        <f>_xlfn.XLOOKUP(A14,Event!A:A,Event!B:B," ")</f>
        <v>0</v>
      </c>
      <c r="C14" s="22">
        <f>_xlfn.XLOOKUP(A14,Event!A:A,Event!C:C," ")</f>
        <v>0</v>
      </c>
      <c r="D14" s="22">
        <f>_xlfn.XLOOKUP(A14,Event!A:A,Event!E:E," ")</f>
        <v>0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6" customHeight="1">
      <c r="A15" s="21">
        <v>10</v>
      </c>
      <c r="B15" s="28">
        <f>_xlfn.XLOOKUP(A15,Event!A:A,Event!B:B," ")</f>
        <v>0</v>
      </c>
      <c r="C15" s="22">
        <f>_xlfn.XLOOKUP(A15,Event!A:A,Event!C:C," ")</f>
        <v>0</v>
      </c>
      <c r="D15" s="22">
        <f>_xlfn.XLOOKUP(A15,Event!A:A,Event!E:E," ")</f>
        <v>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16" customHeight="1">
      <c r="A16" s="21">
        <v>11</v>
      </c>
      <c r="B16" s="28">
        <f>_xlfn.XLOOKUP(A16,Event!A:A,Event!B:B," ")</f>
        <v>0</v>
      </c>
      <c r="C16" s="22">
        <f>_xlfn.XLOOKUP(A16,Event!A:A,Event!C:C," ")</f>
        <v>0</v>
      </c>
      <c r="D16" s="22">
        <f>_xlfn.XLOOKUP(A16,Event!A:A,Event!E:E," ")</f>
        <v>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16" customHeight="1">
      <c r="A17" s="21">
        <v>12</v>
      </c>
      <c r="B17" s="28">
        <f>_xlfn.XLOOKUP(A17,Event!A:A,Event!B:B," ")</f>
        <v>0</v>
      </c>
      <c r="C17" s="22">
        <f>_xlfn.XLOOKUP(A17,Event!A:A,Event!C:C," ")</f>
        <v>0</v>
      </c>
      <c r="D17" s="22">
        <f>_xlfn.XLOOKUP(A17,Event!A:A,Event!E:E," ")</f>
        <v>0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6" customHeight="1">
      <c r="A18" s="21">
        <v>13</v>
      </c>
      <c r="B18" s="28">
        <f>_xlfn.XLOOKUP(A18,Event!A:A,Event!B:B," ")</f>
        <v>0</v>
      </c>
      <c r="C18" s="22">
        <f>_xlfn.XLOOKUP(A18,Event!A:A,Event!C:C," ")</f>
        <v>0</v>
      </c>
      <c r="D18" s="22">
        <f>_xlfn.XLOOKUP(A18,Event!A:A,Event!E:E," ")</f>
        <v>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6" customHeight="1">
      <c r="A19" s="21">
        <v>14</v>
      </c>
      <c r="B19" s="28">
        <f>_xlfn.XLOOKUP(A19,Event!A:A,Event!B:B," ")</f>
        <v>0</v>
      </c>
      <c r="C19" s="22">
        <f>_xlfn.XLOOKUP(A19,Event!A:A,Event!C:C," ")</f>
        <v>0</v>
      </c>
      <c r="D19" s="22">
        <f>_xlfn.XLOOKUP(A19,Event!A:A,Event!E:E," ")</f>
        <v>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6" customHeight="1">
      <c r="A20" s="21">
        <v>15</v>
      </c>
      <c r="B20" s="28">
        <f>_xlfn.XLOOKUP(A20,Event!A:A,Event!B:B," ")</f>
        <v>0</v>
      </c>
      <c r="C20" s="22">
        <f>_xlfn.XLOOKUP(A20,Event!A:A,Event!C:C," ")</f>
        <v>0</v>
      </c>
      <c r="D20" s="22">
        <f>_xlfn.XLOOKUP(A20,Event!A:A,Event!E:E," ")</f>
        <v>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6" customHeight="1">
      <c r="A21" s="21">
        <v>16</v>
      </c>
      <c r="B21" s="28">
        <f>_xlfn.XLOOKUP(A21,Event!A:A,Event!B:B," ")</f>
        <v>0</v>
      </c>
      <c r="C21" s="22">
        <f>_xlfn.XLOOKUP(A21,Event!A:A,Event!C:C," ")</f>
        <v>0</v>
      </c>
      <c r="D21" s="22">
        <f>_xlfn.XLOOKUP(A21,Event!A:A,Event!E:E," ")</f>
        <v>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6" customHeight="1">
      <c r="A22" s="21">
        <v>17</v>
      </c>
      <c r="B22" s="28">
        <f>_xlfn.XLOOKUP(A22,Event!A:A,Event!B:B," ")</f>
        <v>0</v>
      </c>
      <c r="C22" s="22">
        <f>_xlfn.XLOOKUP(A22,Event!A:A,Event!C:C," ")</f>
        <v>0</v>
      </c>
      <c r="D22" s="22">
        <f>_xlfn.XLOOKUP(A22,Event!A:A,Event!E:E," ")</f>
        <v>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6" customHeight="1">
      <c r="A23" s="21">
        <v>18</v>
      </c>
      <c r="B23" s="28">
        <f>_xlfn.XLOOKUP(A23,Event!A:A,Event!B:B," ")</f>
        <v>0</v>
      </c>
      <c r="C23" s="22">
        <f>_xlfn.XLOOKUP(A23,Event!A:A,Event!C:C," ")</f>
        <v>0</v>
      </c>
      <c r="D23" s="22">
        <f>_xlfn.XLOOKUP(A23,Event!A:A,Event!E:E," ")</f>
        <v>0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16" customHeight="1">
      <c r="A24" s="21">
        <v>19</v>
      </c>
      <c r="B24" s="28">
        <f>_xlfn.XLOOKUP(A24,Event!A:A,Event!B:B," ")</f>
        <v>0</v>
      </c>
      <c r="C24" s="22">
        <f>_xlfn.XLOOKUP(A24,Event!A:A,Event!C:C," ")</f>
        <v>0</v>
      </c>
      <c r="D24" s="22">
        <f>_xlfn.XLOOKUP(A24,Event!A:A,Event!E:E," ")</f>
        <v>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6" customHeight="1">
      <c r="A25" s="21">
        <v>20</v>
      </c>
      <c r="B25" s="28">
        <f>_xlfn.XLOOKUP(A25,Event!A:A,Event!B:B," ")</f>
        <v>0</v>
      </c>
      <c r="C25" s="22">
        <f>_xlfn.XLOOKUP(A25,Event!A:A,Event!C:C," ")</f>
        <v>0</v>
      </c>
      <c r="D25" s="22">
        <f>_xlfn.XLOOKUP(A25,Event!A:A,Event!E:E," ")</f>
        <v>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6" customHeight="1">
      <c r="A26" s="21">
        <v>21</v>
      </c>
      <c r="B26" s="28">
        <f>_xlfn.XLOOKUP(A26,Event!A:A,Event!B:B," ")</f>
        <v>0</v>
      </c>
      <c r="C26" s="22">
        <f>_xlfn.XLOOKUP(A26,Event!A:A,Event!C:C," ")</f>
        <v>0</v>
      </c>
      <c r="D26" s="22">
        <f>_xlfn.XLOOKUP(A26,Event!A:A,Event!E:E," ")</f>
        <v>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6" customHeight="1">
      <c r="A27" s="21">
        <v>22</v>
      </c>
      <c r="B27" s="28">
        <f>_xlfn.XLOOKUP(A27,Event!A:A,Event!B:B," ")</f>
        <v>0</v>
      </c>
      <c r="C27" s="22">
        <f>_xlfn.XLOOKUP(A27,Event!A:A,Event!C:C," ")</f>
        <v>0</v>
      </c>
      <c r="D27" s="22">
        <f>_xlfn.XLOOKUP(A27,Event!A:A,Event!E:E," ")</f>
        <v>0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6" customHeight="1">
      <c r="A28" s="21">
        <v>23</v>
      </c>
      <c r="B28" s="28">
        <f>_xlfn.XLOOKUP(A28,Event!A:A,Event!B:B," ")</f>
        <v>0</v>
      </c>
      <c r="C28" s="22">
        <f>_xlfn.XLOOKUP(A28,Event!A:A,Event!C:C," ")</f>
        <v>0</v>
      </c>
      <c r="D28" s="22">
        <f>_xlfn.XLOOKUP(A28,Event!A:A,Event!E:E," ")</f>
        <v>0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6" customHeight="1">
      <c r="A29" s="21">
        <v>24</v>
      </c>
      <c r="B29" s="28">
        <f>_xlfn.XLOOKUP(A29,Event!A:A,Event!B:B," ")</f>
        <v>0</v>
      </c>
      <c r="C29" s="22">
        <f>_xlfn.XLOOKUP(A29,Event!A:A,Event!C:C," ")</f>
        <v>0</v>
      </c>
      <c r="D29" s="22">
        <f>_xlfn.XLOOKUP(A29,Event!A:A,Event!E:E," ")</f>
        <v>0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6" customHeight="1">
      <c r="A30" s="21">
        <v>25</v>
      </c>
      <c r="B30" s="28">
        <f>_xlfn.XLOOKUP(A30,Event!A:A,Event!B:B," ")</f>
        <v>0</v>
      </c>
      <c r="C30" s="22">
        <f>_xlfn.XLOOKUP(A30,Event!A:A,Event!C:C," ")</f>
        <v>0</v>
      </c>
      <c r="D30" s="22">
        <f>_xlfn.XLOOKUP(A30,Event!A:A,Event!E:E," ")</f>
        <v>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8">
      <c r="A31" s="19"/>
      <c r="B31" s="29"/>
      <c r="C31" s="19"/>
      <c r="D31" s="19"/>
      <c r="E31" s="23"/>
      <c r="F31" s="24"/>
      <c r="G31" s="23"/>
      <c r="H31" s="24"/>
      <c r="I31" s="23"/>
      <c r="J31" s="24"/>
      <c r="K31" s="23"/>
      <c r="L31" s="24"/>
      <c r="M31" s="23"/>
      <c r="N31" s="24"/>
      <c r="O31" s="23"/>
      <c r="P31" s="24"/>
      <c r="Q31" s="23"/>
      <c r="R31" s="24"/>
      <c r="S31" s="23"/>
      <c r="T31" s="24"/>
      <c r="U31" s="23"/>
      <c r="V31" s="24"/>
      <c r="W31" s="23"/>
      <c r="X31" s="24"/>
      <c r="Y31" s="23"/>
      <c r="Z31" s="24"/>
      <c r="AA31" s="23"/>
      <c r="AB31" s="24"/>
    </row>
    <row r="32" spans="1:28" ht="18">
      <c r="A32" s="19"/>
      <c r="B32" s="29"/>
      <c r="C32" s="19"/>
      <c r="D32" s="19"/>
      <c r="E32" s="25"/>
      <c r="F32" s="26"/>
      <c r="G32" s="25"/>
      <c r="H32" s="26"/>
      <c r="I32" s="25"/>
      <c r="J32" s="26"/>
      <c r="K32" s="25"/>
      <c r="L32" s="26"/>
      <c r="M32" s="25"/>
      <c r="N32" s="26"/>
      <c r="O32" s="25"/>
      <c r="P32" s="26"/>
      <c r="Q32" s="25"/>
      <c r="R32" s="26"/>
      <c r="S32" s="25"/>
      <c r="T32" s="26"/>
      <c r="U32" s="25"/>
      <c r="V32" s="26"/>
      <c r="W32" s="25"/>
      <c r="X32" s="26"/>
      <c r="Y32" s="25"/>
      <c r="Z32" s="26"/>
      <c r="AA32" s="25"/>
      <c r="AB32" s="26"/>
    </row>
    <row r="33" spans="1:28" ht="18">
      <c r="A33" s="19"/>
      <c r="B33" s="29"/>
      <c r="C33" s="19"/>
      <c r="D33" s="19"/>
      <c r="E33" s="25"/>
      <c r="F33" s="26"/>
      <c r="G33" s="25"/>
      <c r="H33" s="26"/>
      <c r="I33" s="25"/>
      <c r="J33" s="26"/>
      <c r="K33" s="25"/>
      <c r="L33" s="26"/>
      <c r="M33" s="25"/>
      <c r="N33" s="26"/>
      <c r="O33" s="25"/>
      <c r="P33" s="26"/>
      <c r="Q33" s="25"/>
      <c r="R33" s="26"/>
      <c r="S33" s="25"/>
      <c r="T33" s="26"/>
      <c r="U33" s="25"/>
      <c r="V33" s="26"/>
      <c r="W33" s="25"/>
      <c r="X33" s="26"/>
      <c r="Y33" s="25"/>
      <c r="Z33" s="26"/>
      <c r="AA33" s="25"/>
      <c r="AB33" s="26"/>
    </row>
    <row r="34" spans="1:28" ht="18">
      <c r="A34" s="19"/>
      <c r="B34" s="29"/>
      <c r="C34" s="19"/>
      <c r="D34" s="19"/>
      <c r="E34" s="37" t="s">
        <v>626</v>
      </c>
      <c r="F34" s="38"/>
      <c r="G34" s="37" t="s">
        <v>626</v>
      </c>
      <c r="H34" s="38"/>
      <c r="I34" s="37" t="s">
        <v>626</v>
      </c>
      <c r="J34" s="38"/>
      <c r="K34" s="37" t="s">
        <v>626</v>
      </c>
      <c r="L34" s="38"/>
      <c r="M34" s="37" t="s">
        <v>626</v>
      </c>
      <c r="N34" s="38"/>
      <c r="O34" s="37" t="s">
        <v>626</v>
      </c>
      <c r="P34" s="38"/>
      <c r="Q34" s="37" t="s">
        <v>626</v>
      </c>
      <c r="R34" s="38"/>
      <c r="S34" s="37" t="s">
        <v>626</v>
      </c>
      <c r="T34" s="38"/>
      <c r="U34" s="37" t="s">
        <v>626</v>
      </c>
      <c r="V34" s="38"/>
      <c r="W34" s="37" t="s">
        <v>626</v>
      </c>
      <c r="X34" s="38"/>
      <c r="Y34" s="37" t="s">
        <v>626</v>
      </c>
      <c r="Z34" s="38"/>
      <c r="AA34" s="37" t="s">
        <v>626</v>
      </c>
      <c r="AB34" s="38"/>
    </row>
    <row r="35" spans="1:28" ht="18">
      <c r="A35" s="19"/>
      <c r="B35" s="2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spans="1:28" ht="18">
      <c r="A36" s="19"/>
      <c r="B36" s="2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spans="1:28" ht="18">
      <c r="A37" s="19"/>
      <c r="B37" s="2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spans="1:28" ht="18">
      <c r="A38" s="19"/>
      <c r="B38" s="29"/>
      <c r="C38" s="19"/>
      <c r="D38" s="19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18">
      <c r="A39" s="19"/>
      <c r="B39" s="29"/>
      <c r="C39" s="19"/>
      <c r="D39" s="19"/>
      <c r="E39" s="35" t="s">
        <v>627</v>
      </c>
      <c r="F39" s="36"/>
      <c r="G39" s="35" t="s">
        <v>627</v>
      </c>
      <c r="H39" s="36"/>
      <c r="I39" s="35" t="s">
        <v>627</v>
      </c>
      <c r="J39" s="36"/>
      <c r="K39" s="35" t="s">
        <v>627</v>
      </c>
      <c r="L39" s="36"/>
      <c r="M39" s="35" t="s">
        <v>627</v>
      </c>
      <c r="N39" s="36"/>
      <c r="O39" s="35" t="s">
        <v>627</v>
      </c>
      <c r="P39" s="36"/>
      <c r="Q39" s="35" t="s">
        <v>627</v>
      </c>
      <c r="R39" s="36"/>
      <c r="S39" s="35" t="s">
        <v>627</v>
      </c>
      <c r="T39" s="36"/>
      <c r="U39" s="35" t="s">
        <v>627</v>
      </c>
      <c r="V39" s="36"/>
      <c r="W39" s="35" t="s">
        <v>627</v>
      </c>
      <c r="X39" s="36"/>
      <c r="Y39" s="35" t="s">
        <v>627</v>
      </c>
      <c r="Z39" s="36"/>
      <c r="AA39" s="35" t="s">
        <v>627</v>
      </c>
      <c r="AB39" s="36"/>
    </row>
    <row r="40" spans="1:28" ht="18">
      <c r="A40" s="19"/>
      <c r="B40" s="2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1:28" ht="18">
      <c r="A41" s="19"/>
      <c r="B41" s="2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spans="1:28" ht="18">
      <c r="A42" s="19"/>
      <c r="B42" s="2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28" ht="18">
      <c r="A43" s="19"/>
      <c r="B43" s="2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spans="1:28" ht="18">
      <c r="A44" s="19"/>
      <c r="B44" s="2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1:28" ht="18">
      <c r="A45" s="19"/>
      <c r="B45" s="2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1:28" ht="18">
      <c r="A46" s="19"/>
      <c r="B46" s="2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spans="1:28" ht="18">
      <c r="A47" s="19"/>
      <c r="B47" s="2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1:28" ht="18">
      <c r="A48" s="19"/>
      <c r="B48" s="2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1:28" ht="18">
      <c r="A49" s="19"/>
      <c r="B49" s="2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1:28" ht="18">
      <c r="A50" s="19"/>
      <c r="B50" s="2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1:28" ht="18">
      <c r="A51" s="19"/>
      <c r="B51" s="2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1:28" ht="18">
      <c r="A52" s="19"/>
      <c r="B52" s="2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1:28" ht="18">
      <c r="A53" s="19"/>
      <c r="B53" s="2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8" ht="18">
      <c r="A54" s="19"/>
      <c r="B54" s="2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8" ht="18">
      <c r="A55" s="19"/>
      <c r="B55" s="2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1:28" ht="18">
      <c r="A56" s="19"/>
      <c r="B56" s="2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1:28" ht="18">
      <c r="A57" s="19"/>
      <c r="B57" s="2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1:28" ht="18">
      <c r="A58" s="19"/>
      <c r="B58" s="2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8" ht="18">
      <c r="A59" s="19"/>
      <c r="B59" s="2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8" ht="18">
      <c r="A60" s="19"/>
      <c r="B60" s="2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8" ht="18">
      <c r="A61" s="19"/>
      <c r="B61" s="2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1:28" ht="18">
      <c r="A62" s="19"/>
      <c r="B62" s="2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spans="1:28" ht="18">
      <c r="A63" s="19"/>
      <c r="B63" s="2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8" ht="18">
      <c r="A64" s="19"/>
      <c r="B64" s="2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28" ht="18">
      <c r="A65" s="19"/>
      <c r="B65" s="2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spans="1:28" ht="18">
      <c r="A66" s="19"/>
      <c r="B66" s="2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1:28" ht="18">
      <c r="A67" s="19"/>
      <c r="B67" s="2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spans="1:28" ht="18">
      <c r="A68" s="19"/>
      <c r="B68" s="2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spans="1:28" ht="18">
      <c r="A69" s="19"/>
      <c r="B69" s="2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1:28" ht="18">
      <c r="A70" s="19"/>
      <c r="B70" s="2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spans="1:28" ht="18">
      <c r="A71" s="19"/>
      <c r="B71" s="2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 ht="18">
      <c r="A72" s="19"/>
      <c r="B72" s="2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spans="1:28" ht="18">
      <c r="A73" s="19"/>
      <c r="B73" s="2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ht="18">
      <c r="A74" s="19"/>
      <c r="B74" s="2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ht="18">
      <c r="A75" s="19"/>
      <c r="B75" s="2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spans="1:28" ht="18">
      <c r="A76" s="19"/>
      <c r="B76" s="2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spans="1:28" ht="18">
      <c r="A77" s="19"/>
      <c r="B77" s="2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 ht="18">
      <c r="A78" s="19"/>
      <c r="B78" s="2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ht="18">
      <c r="A79" s="19"/>
      <c r="B79" s="2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spans="1:28" ht="18">
      <c r="A80" s="19"/>
      <c r="B80" s="2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spans="1:28" ht="18">
      <c r="A81" s="19"/>
      <c r="B81" s="2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spans="1:28" ht="18">
      <c r="A82" s="19"/>
      <c r="B82" s="2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spans="1:28" ht="18">
      <c r="A83" s="19"/>
      <c r="B83" s="2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1:28" ht="18">
      <c r="A84" s="19"/>
      <c r="B84" s="2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spans="1:28" ht="18">
      <c r="A85" s="19"/>
      <c r="B85" s="2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spans="1:28" ht="18">
      <c r="A86" s="19"/>
      <c r="B86" s="2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spans="1:28" ht="18">
      <c r="A87" s="19"/>
      <c r="B87" s="2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ht="18">
      <c r="A88" s="19"/>
      <c r="B88" s="2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spans="1:28" ht="18">
      <c r="A89" s="19"/>
      <c r="B89" s="2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spans="1:28" ht="18">
      <c r="A90" s="19"/>
      <c r="B90" s="2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spans="1:28" ht="18">
      <c r="A91" s="19"/>
      <c r="B91" s="2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spans="1:28" ht="18">
      <c r="A92" s="19"/>
      <c r="B92" s="2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spans="1:28" ht="18">
      <c r="A93" s="19"/>
      <c r="B93" s="2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spans="1:28" ht="18">
      <c r="A94" s="19"/>
      <c r="B94" s="2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spans="1:28" ht="18">
      <c r="A95" s="19"/>
      <c r="B95" s="2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spans="1:28" ht="18">
      <c r="A96" s="19"/>
      <c r="B96" s="2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ht="18">
      <c r="A97" s="19"/>
      <c r="B97" s="2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ht="18">
      <c r="A98" s="19"/>
      <c r="B98" s="2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spans="1:28" ht="18">
      <c r="A99" s="19"/>
      <c r="B99" s="2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spans="1:28" ht="18">
      <c r="A100" s="19"/>
      <c r="B100" s="2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spans="1:28" ht="18">
      <c r="A101" s="19"/>
      <c r="B101" s="2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spans="1:28" ht="18">
      <c r="A102" s="19"/>
      <c r="B102" s="2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spans="1:28" ht="18">
      <c r="A103" s="19"/>
      <c r="B103" s="2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spans="1:28" ht="18">
      <c r="A104" s="19"/>
      <c r="B104" s="2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spans="1:28" ht="18">
      <c r="A105" s="19"/>
      <c r="B105" s="2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spans="1:28" ht="18">
      <c r="A106" s="19"/>
      <c r="B106" s="2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spans="1:28" ht="18">
      <c r="A107" s="19"/>
      <c r="B107" s="2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spans="1:28" ht="18">
      <c r="A108" s="19"/>
      <c r="B108" s="2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spans="1:28" ht="18">
      <c r="A109" s="19"/>
      <c r="B109" s="2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spans="1:28" ht="18">
      <c r="A110" s="19"/>
      <c r="B110" s="2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spans="1:28" ht="18">
      <c r="A111" s="19"/>
      <c r="B111" s="2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spans="1:28" ht="18">
      <c r="A112" s="19"/>
      <c r="B112" s="2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spans="1:28" ht="18">
      <c r="A113" s="19"/>
      <c r="B113" s="2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spans="1:28" ht="18">
      <c r="A114" s="19"/>
      <c r="B114" s="2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spans="1:28" ht="18">
      <c r="A115" s="19"/>
      <c r="B115" s="2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spans="1:28" ht="18">
      <c r="A116" s="19"/>
      <c r="B116" s="2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spans="1:28" ht="18">
      <c r="A117" s="19"/>
      <c r="B117" s="2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spans="1:28" ht="18">
      <c r="A118" s="19"/>
      <c r="B118" s="2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spans="1:28" ht="18">
      <c r="A119" s="19"/>
      <c r="B119" s="2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spans="1:28" ht="18">
      <c r="A120" s="19"/>
      <c r="B120" s="2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spans="1:28" ht="18">
      <c r="A121" s="19"/>
      <c r="B121" s="2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spans="1:28" ht="18">
      <c r="A122" s="19"/>
      <c r="B122" s="2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spans="1:28" ht="18">
      <c r="A123" s="19"/>
      <c r="B123" s="2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spans="1:28" ht="18">
      <c r="A124" s="19"/>
      <c r="B124" s="2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spans="1:28" ht="18">
      <c r="A125" s="19"/>
      <c r="B125" s="2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spans="1:28" ht="18">
      <c r="A126" s="19"/>
      <c r="B126" s="2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spans="1:28" ht="18">
      <c r="A127" s="19"/>
      <c r="B127" s="2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spans="1:28" ht="18">
      <c r="A128" s="19"/>
      <c r="B128" s="2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spans="1:28" ht="18">
      <c r="A129" s="19"/>
      <c r="B129" s="2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spans="1:28" ht="18">
      <c r="A130" s="19"/>
      <c r="B130" s="2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spans="1:28" ht="18">
      <c r="A131" s="19"/>
      <c r="B131" s="2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spans="1:28" ht="18">
      <c r="A132" s="19"/>
      <c r="B132" s="2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spans="1:28" ht="18">
      <c r="A133" s="19"/>
      <c r="B133" s="2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spans="1:28" ht="18">
      <c r="A134" s="19"/>
      <c r="B134" s="2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spans="1:28" ht="18">
      <c r="A135" s="19"/>
      <c r="B135" s="2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spans="1:28" ht="18">
      <c r="A136" s="19"/>
      <c r="B136" s="2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spans="1:28" ht="18">
      <c r="A137" s="19"/>
      <c r="B137" s="2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spans="1:28" ht="18">
      <c r="A138" s="19"/>
      <c r="B138" s="2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spans="1:28" ht="18">
      <c r="A139" s="19"/>
      <c r="B139" s="2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spans="1:28" ht="18">
      <c r="A140" s="19"/>
      <c r="B140" s="2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spans="1:28" ht="18">
      <c r="A141" s="19"/>
      <c r="B141" s="2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spans="1:28" ht="18">
      <c r="A142" s="19"/>
      <c r="B142" s="2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spans="1:28" ht="18">
      <c r="A143" s="19"/>
      <c r="B143" s="2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spans="1:28" ht="18">
      <c r="A144" s="19"/>
      <c r="B144" s="2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spans="1:28" ht="18">
      <c r="A145" s="19"/>
      <c r="B145" s="2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spans="1:28" ht="18">
      <c r="A146" s="19"/>
      <c r="B146" s="2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spans="1:28" ht="18">
      <c r="A147" s="19"/>
      <c r="B147" s="2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spans="1:28" ht="18">
      <c r="A148" s="19"/>
      <c r="B148" s="2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spans="1:28" ht="18">
      <c r="A149" s="19"/>
      <c r="B149" s="2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spans="1:28" ht="18">
      <c r="A150" s="19"/>
      <c r="B150" s="2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spans="1:28" ht="18">
      <c r="A151" s="19"/>
      <c r="B151" s="2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spans="1:28" ht="18">
      <c r="A152" s="19"/>
      <c r="B152" s="2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spans="1:28" ht="18">
      <c r="A153" s="19"/>
      <c r="B153" s="2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spans="1:28" ht="18">
      <c r="A154" s="19"/>
      <c r="B154" s="2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spans="1:28" ht="18">
      <c r="A155" s="19"/>
      <c r="B155" s="2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spans="1:28" ht="18">
      <c r="A156" s="19"/>
      <c r="B156" s="2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spans="1:28" ht="18">
      <c r="A157" s="19"/>
      <c r="B157" s="2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spans="1:28" ht="18">
      <c r="A158" s="19"/>
      <c r="B158" s="2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spans="1:28" ht="18">
      <c r="A159" s="19"/>
      <c r="B159" s="2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spans="1:28" ht="18">
      <c r="A160" s="19"/>
      <c r="B160" s="2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spans="1:28" ht="18">
      <c r="A161" s="19"/>
      <c r="B161" s="2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spans="1:28" ht="18">
      <c r="A162" s="19"/>
      <c r="B162" s="2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spans="1:28" ht="18">
      <c r="A163" s="19"/>
      <c r="B163" s="2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:28" ht="18">
      <c r="A164" s="19"/>
      <c r="B164" s="2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spans="1:28" ht="18">
      <c r="A165" s="19"/>
      <c r="B165" s="2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spans="1:28" ht="18">
      <c r="A166" s="19"/>
      <c r="B166" s="2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spans="1:28" ht="18">
      <c r="A167" s="19"/>
      <c r="B167" s="2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spans="1:28" ht="18">
      <c r="A168" s="19"/>
      <c r="B168" s="2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spans="1:28" ht="18">
      <c r="A169" s="19"/>
      <c r="B169" s="2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spans="1:28" ht="18">
      <c r="A170" s="19"/>
      <c r="B170" s="2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spans="1:28" ht="18">
      <c r="A171" s="19"/>
      <c r="B171" s="2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spans="1:28" ht="18">
      <c r="A172" s="19"/>
      <c r="B172" s="2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spans="1:28" ht="18">
      <c r="A173" s="19"/>
      <c r="B173" s="2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spans="1:28" ht="18">
      <c r="A174" s="19"/>
      <c r="B174" s="2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spans="1:28" ht="18">
      <c r="A175" s="19"/>
      <c r="B175" s="2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spans="1:28" ht="18">
      <c r="A176" s="19"/>
      <c r="B176" s="2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spans="1:28" ht="18">
      <c r="A177" s="19"/>
      <c r="B177" s="2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spans="1:28" ht="18">
      <c r="A178" s="19"/>
      <c r="B178" s="2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spans="1:28" ht="18">
      <c r="A179" s="19"/>
      <c r="B179" s="2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spans="1:28" ht="18">
      <c r="A180" s="19"/>
      <c r="B180" s="2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spans="1:28" ht="18">
      <c r="A181" s="19"/>
      <c r="B181" s="2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spans="1:28" ht="18">
      <c r="A182" s="19"/>
      <c r="B182" s="2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spans="1:28" ht="18">
      <c r="A183" s="19"/>
      <c r="B183" s="2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spans="1:28" ht="18">
      <c r="A184" s="19"/>
      <c r="B184" s="2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spans="1:28" ht="18">
      <c r="A185" s="19"/>
      <c r="B185" s="2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spans="1:28" ht="18">
      <c r="A186" s="19"/>
      <c r="B186" s="2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spans="1:28" ht="18">
      <c r="A187" s="19"/>
      <c r="B187" s="2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spans="1:28" ht="18">
      <c r="A188" s="19"/>
      <c r="B188" s="2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spans="1:28" ht="18">
      <c r="A189" s="19"/>
      <c r="B189" s="2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1:28" ht="18">
      <c r="A190" s="19"/>
      <c r="B190" s="2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spans="1:28" ht="18">
      <c r="A191" s="19"/>
      <c r="B191" s="2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1:28" ht="18">
      <c r="A192" s="19"/>
      <c r="B192" s="2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spans="1:28" ht="18">
      <c r="A193" s="19"/>
      <c r="B193" s="2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spans="1:28" ht="18">
      <c r="A194" s="19"/>
      <c r="B194" s="2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spans="1:28" ht="18">
      <c r="A195" s="19"/>
      <c r="B195" s="2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spans="1:28" ht="18">
      <c r="A196" s="19"/>
      <c r="B196" s="2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spans="1:28" ht="18">
      <c r="A197" s="19"/>
      <c r="B197" s="2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spans="1:28" ht="18">
      <c r="A198" s="19"/>
      <c r="B198" s="2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spans="1:28" ht="18">
      <c r="A199" s="19"/>
      <c r="B199" s="2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spans="1:28" ht="18">
      <c r="A200" s="19"/>
      <c r="B200" s="2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spans="1:28" ht="18">
      <c r="A201" s="19"/>
      <c r="B201" s="2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spans="1:28" ht="18">
      <c r="A202" s="19"/>
      <c r="B202" s="2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spans="1:28" ht="18">
      <c r="A203" s="19"/>
      <c r="B203" s="2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spans="1:28" ht="18">
      <c r="A204" s="19"/>
      <c r="B204" s="2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spans="1:28" ht="18">
      <c r="A205" s="19"/>
      <c r="B205" s="2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spans="1:28" ht="18">
      <c r="A206" s="19"/>
      <c r="B206" s="2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spans="1:28" ht="18">
      <c r="A207" s="19"/>
      <c r="B207" s="2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spans="1:28" ht="18">
      <c r="A208" s="19"/>
      <c r="B208" s="2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spans="1:28" ht="18">
      <c r="A209" s="19"/>
      <c r="B209" s="2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spans="1:28" ht="18">
      <c r="A210" s="19"/>
      <c r="B210" s="2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spans="1:28" ht="18">
      <c r="A211" s="19"/>
      <c r="B211" s="2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spans="1:28" ht="18">
      <c r="A212" s="19"/>
      <c r="B212" s="2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spans="1:28" ht="18">
      <c r="A213" s="19"/>
      <c r="B213" s="2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spans="1:28" ht="18">
      <c r="A214" s="19"/>
      <c r="B214" s="2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spans="1:28" ht="18">
      <c r="A215" s="19"/>
      <c r="B215" s="2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spans="1:28" ht="18">
      <c r="A216" s="19"/>
      <c r="B216" s="2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spans="1:28" ht="18">
      <c r="A217" s="19"/>
      <c r="B217" s="2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spans="1:28" ht="18">
      <c r="A218" s="19"/>
      <c r="B218" s="2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spans="1:28" ht="18">
      <c r="A219" s="19"/>
      <c r="B219" s="2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spans="1:28" ht="18">
      <c r="A220" s="19"/>
      <c r="B220" s="2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spans="1:28" ht="18">
      <c r="A221" s="19"/>
      <c r="B221" s="2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spans="1:28" ht="18">
      <c r="A222" s="19"/>
      <c r="B222" s="2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spans="1:28" ht="18">
      <c r="A223" s="19"/>
      <c r="B223" s="2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spans="1:28" ht="18">
      <c r="A224" s="19"/>
      <c r="B224" s="2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spans="1:28" ht="18">
      <c r="A225" s="19"/>
      <c r="B225" s="2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spans="1:28" ht="18">
      <c r="A226" s="19"/>
      <c r="B226" s="2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spans="1:28" ht="18">
      <c r="A227" s="19"/>
      <c r="B227" s="2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spans="1:28" ht="18">
      <c r="A228" s="19"/>
      <c r="B228" s="2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spans="1:28" ht="18">
      <c r="A229" s="19"/>
      <c r="B229" s="2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1:28" ht="18">
      <c r="A230" s="19"/>
      <c r="B230" s="2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spans="1:28" ht="18">
      <c r="A231" s="19"/>
      <c r="B231" s="2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spans="1:28" ht="18">
      <c r="A232" s="19"/>
      <c r="B232" s="2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spans="1:28" ht="18">
      <c r="A233" s="19"/>
      <c r="B233" s="2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spans="1:28" ht="18">
      <c r="A234" s="19"/>
      <c r="B234" s="2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spans="1:28" ht="18">
      <c r="A235" s="19"/>
      <c r="B235" s="2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spans="1:28" ht="18">
      <c r="A236" s="19"/>
      <c r="B236" s="2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spans="1:28" ht="18">
      <c r="A237" s="19"/>
      <c r="B237" s="2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spans="1:28" ht="18">
      <c r="A238" s="19"/>
      <c r="B238" s="2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spans="1:28" ht="18">
      <c r="A239" s="19"/>
      <c r="B239" s="2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spans="1:28" ht="18">
      <c r="A240" s="19"/>
      <c r="B240" s="2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spans="1:28" ht="18">
      <c r="A241" s="19"/>
      <c r="B241" s="2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1:28" ht="18">
      <c r="A242" s="19"/>
      <c r="B242" s="2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1:28" ht="18">
      <c r="A243" s="19"/>
      <c r="B243" s="2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spans="1:28" ht="18">
      <c r="A244" s="19"/>
      <c r="B244" s="2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spans="1:28" ht="18">
      <c r="A245" s="19"/>
      <c r="B245" s="2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spans="1:28" ht="18">
      <c r="A246" s="19"/>
      <c r="B246" s="2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spans="1:28" ht="18">
      <c r="A247" s="19"/>
      <c r="B247" s="2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spans="1:28" ht="18">
      <c r="A248" s="19"/>
      <c r="B248" s="2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spans="1:28" ht="18">
      <c r="A249" s="19"/>
      <c r="B249" s="2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spans="1:28" ht="18">
      <c r="A250" s="19"/>
      <c r="B250" s="2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spans="1:28" ht="18">
      <c r="A251" s="19"/>
      <c r="B251" s="2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spans="1:28" ht="18">
      <c r="A252" s="19"/>
      <c r="B252" s="2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spans="1:28" ht="18">
      <c r="A253" s="19"/>
      <c r="B253" s="2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spans="1:28" ht="18">
      <c r="A254" s="19"/>
      <c r="B254" s="2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spans="1:28" ht="18">
      <c r="A255" s="19"/>
      <c r="B255" s="2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spans="1:28" ht="18">
      <c r="A256" s="19"/>
      <c r="B256" s="2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spans="1:28" ht="18">
      <c r="A257" s="19"/>
      <c r="B257" s="2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spans="1:28" ht="18">
      <c r="A258" s="19"/>
      <c r="B258" s="2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spans="1:28" ht="18">
      <c r="A259" s="19"/>
      <c r="B259" s="2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spans="1:28" ht="18">
      <c r="A260" s="19"/>
      <c r="B260" s="2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spans="1:28" ht="18">
      <c r="A261" s="19"/>
      <c r="B261" s="2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spans="1:28" ht="18">
      <c r="A262" s="19"/>
      <c r="B262" s="2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spans="1:28" ht="18">
      <c r="A263" s="19"/>
      <c r="B263" s="2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spans="1:28" ht="18">
      <c r="A264" s="19"/>
      <c r="B264" s="2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spans="1:28" ht="18">
      <c r="A265" s="19"/>
      <c r="B265" s="2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spans="1:28" ht="18">
      <c r="A266" s="19"/>
      <c r="B266" s="2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spans="1:28" ht="18">
      <c r="A267" s="19"/>
      <c r="B267" s="2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spans="1:28" ht="18">
      <c r="A268" s="19"/>
      <c r="B268" s="2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spans="1:28" ht="18">
      <c r="A269" s="19"/>
      <c r="B269" s="2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spans="1:28" ht="18">
      <c r="A270" s="19"/>
      <c r="B270" s="2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spans="1:28" ht="18">
      <c r="A271" s="19"/>
      <c r="B271" s="2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spans="1:28" ht="18">
      <c r="A272" s="19"/>
      <c r="B272" s="2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spans="1:28" ht="18">
      <c r="A273" s="19"/>
      <c r="B273" s="2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spans="1:28" ht="18">
      <c r="A274" s="19"/>
      <c r="B274" s="2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spans="1:28" ht="18">
      <c r="A275" s="19"/>
      <c r="B275" s="2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spans="1:28" ht="18">
      <c r="A276" s="19"/>
      <c r="B276" s="2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spans="1:28" ht="18">
      <c r="A277" s="19"/>
      <c r="B277" s="2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spans="1:28" ht="18">
      <c r="A278" s="19"/>
      <c r="B278" s="2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spans="1:28" ht="18">
      <c r="A279" s="19"/>
      <c r="B279" s="2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spans="1:28" ht="18">
      <c r="A280" s="19"/>
      <c r="B280" s="2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spans="1:28" ht="18">
      <c r="A281" s="19"/>
      <c r="B281" s="2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spans="1:28" ht="18">
      <c r="A282" s="19"/>
      <c r="B282" s="2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spans="1:28" ht="18">
      <c r="A283" s="19"/>
      <c r="B283" s="2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spans="1:28" ht="18">
      <c r="A284" s="19"/>
      <c r="B284" s="2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spans="1:28" ht="18">
      <c r="A285" s="19"/>
      <c r="B285" s="2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spans="1:28" ht="18">
      <c r="A286" s="19"/>
      <c r="B286" s="2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spans="1:28" ht="18">
      <c r="A287" s="19"/>
      <c r="B287" s="2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spans="1:28" ht="18">
      <c r="A288" s="19"/>
      <c r="B288" s="2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spans="1:28" ht="18">
      <c r="A289" s="19"/>
      <c r="B289" s="2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spans="1:28" ht="18">
      <c r="A290" s="19"/>
      <c r="B290" s="2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spans="1:28" ht="18">
      <c r="A291" s="19"/>
      <c r="B291" s="2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spans="1:28" ht="18">
      <c r="A292" s="19"/>
      <c r="B292" s="2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spans="1:28" ht="18">
      <c r="A293" s="19"/>
      <c r="B293" s="2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spans="1:28" ht="18">
      <c r="A294" s="19"/>
      <c r="B294" s="2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spans="1:28" ht="18">
      <c r="A295" s="19"/>
      <c r="B295" s="2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spans="1:28" ht="18">
      <c r="A296" s="19"/>
      <c r="B296" s="2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spans="1:28" ht="18">
      <c r="A297" s="19"/>
      <c r="B297" s="2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spans="1:28" ht="18">
      <c r="A298" s="19"/>
      <c r="B298" s="2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spans="1:28" ht="18">
      <c r="A299" s="19"/>
      <c r="B299" s="2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spans="1:28" ht="18">
      <c r="A300" s="19"/>
      <c r="B300" s="2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spans="1:28" ht="18">
      <c r="A301" s="19"/>
      <c r="B301" s="2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spans="1:28" ht="18">
      <c r="A302" s="19"/>
      <c r="B302" s="2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spans="1:28" ht="18">
      <c r="A303" s="19"/>
      <c r="B303" s="2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spans="1:28" ht="18">
      <c r="A304" s="19"/>
      <c r="B304" s="2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spans="1:28" ht="18">
      <c r="A305" s="19"/>
      <c r="B305" s="2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spans="1:28" ht="18">
      <c r="A306" s="19"/>
      <c r="B306" s="2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spans="1:28" ht="18">
      <c r="A307" s="19"/>
      <c r="B307" s="2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spans="1:28" ht="18">
      <c r="A308" s="19"/>
      <c r="B308" s="2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spans="1:28" ht="18">
      <c r="A309" s="19"/>
      <c r="B309" s="2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spans="1:28" ht="18">
      <c r="A310" s="19"/>
      <c r="B310" s="2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spans="1:28" ht="18">
      <c r="A311" s="19"/>
      <c r="B311" s="2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spans="1:28" ht="18">
      <c r="A312" s="19"/>
      <c r="B312" s="2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spans="1:28" ht="18">
      <c r="A313" s="19"/>
      <c r="B313" s="2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spans="1:28" ht="18">
      <c r="A314" s="19"/>
      <c r="B314" s="2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spans="1:28" ht="18">
      <c r="A315" s="19"/>
      <c r="B315" s="2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spans="1:28" ht="18">
      <c r="A316" s="19"/>
      <c r="B316" s="2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spans="1:28" ht="18">
      <c r="A317" s="19"/>
      <c r="B317" s="2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spans="1:28" ht="18">
      <c r="A318" s="19"/>
      <c r="B318" s="2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spans="1:28" ht="18">
      <c r="A319" s="19"/>
      <c r="B319" s="2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spans="1:28" ht="18">
      <c r="A320" s="19"/>
      <c r="B320" s="2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spans="1:28" ht="18">
      <c r="A321" s="19"/>
      <c r="B321" s="2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spans="1:28" ht="18">
      <c r="A322" s="19"/>
      <c r="B322" s="2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spans="1:28" ht="18">
      <c r="A323" s="19"/>
      <c r="B323" s="2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spans="1:28" ht="18">
      <c r="A324" s="19"/>
      <c r="B324" s="2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spans="1:28" ht="18">
      <c r="A325" s="19"/>
      <c r="B325" s="2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spans="1:28" ht="18">
      <c r="A326" s="19"/>
      <c r="B326" s="2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spans="1:28" ht="18">
      <c r="A327" s="19"/>
      <c r="B327" s="2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spans="1:28" ht="18">
      <c r="A328" s="19"/>
      <c r="B328" s="2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spans="1:28" ht="18">
      <c r="A329" s="19"/>
      <c r="B329" s="2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spans="1:28" ht="18">
      <c r="A330" s="19"/>
      <c r="B330" s="2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spans="1:28" ht="18">
      <c r="A331" s="19"/>
      <c r="B331" s="2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spans="1:28" ht="18">
      <c r="A332" s="19"/>
      <c r="B332" s="2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spans="1:28" ht="18">
      <c r="A333" s="19"/>
      <c r="B333" s="2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spans="1:28" ht="18">
      <c r="A334" s="19"/>
      <c r="B334" s="2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spans="1:28" ht="18">
      <c r="A335" s="19"/>
      <c r="B335" s="2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spans="1:28" ht="18">
      <c r="A336" s="19"/>
      <c r="B336" s="2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spans="1:28" ht="18">
      <c r="A337" s="19"/>
      <c r="B337" s="2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spans="1:28" ht="18">
      <c r="A338" s="19"/>
      <c r="B338" s="2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spans="1:28" ht="18">
      <c r="A339" s="19"/>
      <c r="B339" s="2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spans="1:28" ht="18">
      <c r="A340" s="19"/>
      <c r="B340" s="2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spans="1:28" ht="18">
      <c r="A341" s="19"/>
      <c r="B341" s="2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spans="1:28" ht="18">
      <c r="A342" s="19"/>
      <c r="B342" s="2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spans="1:28" ht="18">
      <c r="A343" s="19"/>
      <c r="B343" s="2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spans="1:28" ht="18">
      <c r="A344" s="19"/>
      <c r="B344" s="2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spans="1:28" ht="18">
      <c r="A345" s="19"/>
      <c r="B345" s="2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spans="1:28" ht="18">
      <c r="A346" s="19"/>
      <c r="B346" s="2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spans="1:28" ht="18">
      <c r="A347" s="19"/>
      <c r="B347" s="2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spans="1:28" ht="18">
      <c r="A348" s="19"/>
      <c r="B348" s="2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spans="1:28" ht="18">
      <c r="A349" s="19"/>
      <c r="B349" s="2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spans="1:28" ht="18">
      <c r="A350" s="19"/>
      <c r="B350" s="2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spans="1:28" ht="18">
      <c r="A351" s="19"/>
      <c r="B351" s="2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spans="1:28" ht="18">
      <c r="A352" s="19"/>
      <c r="B352" s="2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spans="1:28" ht="18">
      <c r="A353" s="19"/>
      <c r="B353" s="2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spans="1:28" ht="18">
      <c r="A354" s="19"/>
      <c r="B354" s="2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spans="1:28" ht="18">
      <c r="A355" s="19"/>
      <c r="B355" s="2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spans="1:28" ht="18">
      <c r="A356" s="19"/>
      <c r="B356" s="2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spans="1:28" ht="18">
      <c r="A357" s="19"/>
      <c r="B357" s="2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spans="1:28" ht="18">
      <c r="A358" s="19"/>
      <c r="B358" s="2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spans="1:28" ht="18">
      <c r="A359" s="19"/>
      <c r="B359" s="2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spans="1:28" ht="18">
      <c r="A360" s="19"/>
      <c r="B360" s="2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spans="1:28" ht="18">
      <c r="A361" s="19"/>
      <c r="B361" s="2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spans="1:28" ht="18">
      <c r="A362" s="19"/>
      <c r="B362" s="2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spans="1:28" ht="18">
      <c r="A363" s="19"/>
      <c r="B363" s="2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spans="1:28" ht="18">
      <c r="A364" s="19"/>
      <c r="B364" s="2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spans="1:28" ht="18">
      <c r="A365" s="19"/>
      <c r="B365" s="2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spans="1:28" ht="18">
      <c r="A366" s="19"/>
      <c r="B366" s="2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spans="1:28" ht="18">
      <c r="A367" s="19"/>
      <c r="B367" s="2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spans="1:28" ht="18">
      <c r="A368" s="19"/>
      <c r="B368" s="2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spans="1:28" ht="18">
      <c r="A369" s="19"/>
      <c r="B369" s="2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spans="1:28" ht="18">
      <c r="A370" s="19"/>
      <c r="B370" s="2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spans="1:28" ht="18">
      <c r="A371" s="19"/>
      <c r="B371" s="2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spans="1:28" ht="18">
      <c r="A372" s="19"/>
      <c r="B372" s="2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spans="1:28" ht="18">
      <c r="A373" s="19"/>
      <c r="B373" s="2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spans="1:28" ht="18">
      <c r="A374" s="19"/>
      <c r="B374" s="2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spans="1:28" ht="18">
      <c r="A375" s="19"/>
      <c r="B375" s="2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spans="1:28" ht="18">
      <c r="A376" s="19"/>
      <c r="B376" s="2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spans="1:28" ht="18">
      <c r="A377" s="19"/>
      <c r="B377" s="2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spans="1:28" ht="18">
      <c r="A378" s="19"/>
      <c r="B378" s="2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spans="1:28" ht="18">
      <c r="A379" s="19"/>
      <c r="B379" s="2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spans="1:28" ht="18">
      <c r="A380" s="19"/>
      <c r="B380" s="2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spans="1:28" ht="18">
      <c r="A381" s="19"/>
      <c r="B381" s="2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spans="1:28" ht="18">
      <c r="A382" s="19"/>
      <c r="B382" s="2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spans="1:28" ht="18">
      <c r="A383" s="19"/>
      <c r="B383" s="2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spans="1:28" ht="18">
      <c r="A384" s="19"/>
      <c r="B384" s="2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spans="1:28" ht="18">
      <c r="A385" s="19"/>
      <c r="B385" s="2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spans="1:28" ht="18">
      <c r="A386" s="19"/>
      <c r="B386" s="2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spans="1:28" ht="18">
      <c r="A387" s="19"/>
      <c r="B387" s="2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spans="1:28" ht="18">
      <c r="A388" s="19"/>
      <c r="B388" s="2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spans="1:28" ht="18">
      <c r="A389" s="19"/>
      <c r="B389" s="2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spans="1:28" ht="18">
      <c r="A390" s="19"/>
      <c r="B390" s="2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spans="1:28" ht="18">
      <c r="A391" s="19"/>
      <c r="B391" s="2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spans="1:28" ht="18">
      <c r="A392" s="19"/>
      <c r="B392" s="2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spans="1:28" ht="18">
      <c r="A393" s="19"/>
      <c r="B393" s="2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spans="1:28" ht="18">
      <c r="A394" s="19"/>
      <c r="B394" s="2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spans="1:28" ht="18">
      <c r="A395" s="19"/>
      <c r="B395" s="2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spans="1:28" ht="18">
      <c r="A396" s="19"/>
      <c r="B396" s="2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spans="1:28" ht="18">
      <c r="A397" s="19"/>
      <c r="B397" s="2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spans="1:28" ht="18">
      <c r="A398" s="19"/>
      <c r="B398" s="2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spans="1:28" ht="18">
      <c r="A399" s="19"/>
      <c r="B399" s="2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spans="1:28" ht="18">
      <c r="A400" s="19"/>
      <c r="B400" s="2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spans="1:28" ht="18">
      <c r="A401" s="19"/>
      <c r="B401" s="2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spans="1:28" ht="18">
      <c r="A402" s="19"/>
      <c r="B402" s="2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spans="1:28" ht="18">
      <c r="A403" s="19"/>
      <c r="B403" s="2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spans="1:28" ht="18">
      <c r="A404" s="19"/>
      <c r="B404" s="2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spans="1:28" ht="18">
      <c r="A405" s="19"/>
      <c r="B405" s="2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spans="1:28" ht="18">
      <c r="A406" s="19"/>
      <c r="B406" s="2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spans="1:28" ht="18">
      <c r="A407" s="19"/>
      <c r="B407" s="2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spans="1:28" ht="18">
      <c r="A408" s="19"/>
      <c r="B408" s="2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spans="1:28" ht="18">
      <c r="A409" s="19"/>
      <c r="B409" s="2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spans="1:28" ht="18">
      <c r="A410" s="19"/>
      <c r="B410" s="2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spans="1:28" ht="18">
      <c r="A411" s="19"/>
      <c r="B411" s="2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spans="1:28" ht="18">
      <c r="A412" s="19"/>
      <c r="B412" s="2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spans="1:28" ht="18">
      <c r="A413" s="19"/>
      <c r="B413" s="2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spans="1:28" ht="18">
      <c r="A414" s="19"/>
      <c r="B414" s="2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spans="1:28" ht="18">
      <c r="A415" s="19"/>
      <c r="B415" s="2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spans="1:28" ht="18">
      <c r="A416" s="19"/>
      <c r="B416" s="2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spans="1:28" ht="18">
      <c r="A417" s="19"/>
      <c r="B417" s="2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spans="1:28" ht="18">
      <c r="A418" s="19"/>
      <c r="B418" s="2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spans="1:28" ht="18">
      <c r="A419" s="19"/>
      <c r="B419" s="2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spans="1:28" ht="18">
      <c r="A420" s="19"/>
      <c r="B420" s="2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spans="1:28" ht="18">
      <c r="A421" s="19"/>
      <c r="B421" s="2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spans="1:28" ht="18">
      <c r="A422" s="19"/>
      <c r="B422" s="2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spans="1:28" ht="18">
      <c r="A423" s="19"/>
      <c r="B423" s="2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spans="1:28" ht="18">
      <c r="A424" s="19"/>
      <c r="B424" s="2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spans="1:28" ht="18">
      <c r="A425" s="19"/>
      <c r="B425" s="2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spans="1:28" ht="18">
      <c r="A426" s="19"/>
      <c r="B426" s="2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spans="1:28" ht="18">
      <c r="A427" s="19"/>
      <c r="B427" s="2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spans="1:28" ht="18">
      <c r="A428" s="19"/>
      <c r="B428" s="2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spans="1:28" ht="18">
      <c r="A429" s="19"/>
      <c r="B429" s="2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spans="1:28" ht="18">
      <c r="A430" s="19"/>
      <c r="B430" s="2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spans="1:28" ht="18">
      <c r="A431" s="19"/>
      <c r="B431" s="2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spans="1:28" ht="18">
      <c r="A432" s="19"/>
      <c r="B432" s="2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spans="1:28" ht="18">
      <c r="A433" s="19"/>
      <c r="B433" s="2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spans="1:28" ht="18">
      <c r="A434" s="19"/>
      <c r="B434" s="2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spans="1:28" ht="18">
      <c r="A435" s="19"/>
      <c r="B435" s="2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spans="1:28" ht="18">
      <c r="A436" s="19"/>
      <c r="B436" s="2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spans="1:28" ht="18">
      <c r="A437" s="19"/>
      <c r="B437" s="2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spans="1:28" ht="18">
      <c r="A438" s="19"/>
      <c r="B438" s="2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spans="1:28" ht="18">
      <c r="A439" s="19"/>
      <c r="B439" s="2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spans="1:28" ht="18">
      <c r="A440" s="19"/>
      <c r="B440" s="2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spans="1:28" ht="18">
      <c r="A441" s="19"/>
      <c r="B441" s="2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spans="1:28" ht="18">
      <c r="A442" s="19"/>
      <c r="B442" s="2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spans="1:28" ht="18">
      <c r="A443" s="19"/>
      <c r="B443" s="2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spans="1:28" ht="18">
      <c r="A444" s="19"/>
      <c r="B444" s="2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spans="1:28" ht="18">
      <c r="A445" s="19"/>
      <c r="B445" s="2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spans="1:28" ht="18">
      <c r="A446" s="19"/>
      <c r="B446" s="2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spans="1:28" ht="18">
      <c r="A447" s="19"/>
      <c r="B447" s="2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spans="1:28" ht="18">
      <c r="A448" s="19"/>
      <c r="B448" s="2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spans="1:28" ht="18">
      <c r="A449" s="19"/>
      <c r="B449" s="2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spans="1:28" ht="18">
      <c r="A450" s="19"/>
      <c r="B450" s="2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spans="1:28" ht="18">
      <c r="A451" s="19"/>
      <c r="B451" s="2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spans="1:28" ht="18">
      <c r="A452" s="19"/>
      <c r="B452" s="2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spans="1:28" ht="18">
      <c r="A453" s="19"/>
      <c r="B453" s="2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spans="1:28" ht="18">
      <c r="A454" s="19"/>
      <c r="B454" s="2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spans="1:28" ht="18">
      <c r="A455" s="19"/>
      <c r="B455" s="2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spans="1:28" ht="18">
      <c r="A456" s="19"/>
      <c r="B456" s="2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spans="1:28" ht="18">
      <c r="A457" s="19"/>
      <c r="B457" s="2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spans="1:28" ht="18">
      <c r="A458" s="19"/>
      <c r="B458" s="2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spans="1:28" ht="18">
      <c r="A459" s="19"/>
      <c r="B459" s="2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spans="1:28" ht="18">
      <c r="A460" s="19"/>
      <c r="B460" s="2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spans="1:28" ht="18">
      <c r="A461" s="19"/>
      <c r="B461" s="2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spans="1:28" ht="18">
      <c r="A462" s="19"/>
      <c r="B462" s="2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spans="1:28" ht="18">
      <c r="A463" s="19"/>
      <c r="B463" s="2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spans="1:28" ht="18">
      <c r="A464" s="19"/>
      <c r="B464" s="2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spans="1:28" ht="18">
      <c r="A465" s="19"/>
      <c r="B465" s="2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spans="1:28" ht="18">
      <c r="A466" s="19"/>
      <c r="B466" s="2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spans="1:28" ht="18">
      <c r="A467" s="19"/>
      <c r="B467" s="2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spans="1:28" ht="18">
      <c r="A468" s="19"/>
      <c r="B468" s="2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spans="1:28" ht="18">
      <c r="A469" s="19"/>
      <c r="B469" s="2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spans="1:28" ht="18">
      <c r="A470" s="19"/>
      <c r="B470" s="2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spans="1:28" ht="18">
      <c r="A471" s="19"/>
      <c r="B471" s="2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spans="1:28" ht="18">
      <c r="A472" s="19"/>
      <c r="B472" s="2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spans="1:28" ht="18">
      <c r="A473" s="19"/>
      <c r="B473" s="2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spans="1:28" ht="18">
      <c r="A474" s="19"/>
      <c r="B474" s="2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spans="1:28" ht="18">
      <c r="A475" s="19"/>
      <c r="B475" s="2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spans="1:28" ht="18">
      <c r="A476" s="19"/>
      <c r="B476" s="2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spans="1:28" ht="18">
      <c r="A477" s="19"/>
      <c r="B477" s="2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spans="1:28" ht="18">
      <c r="A478" s="19"/>
      <c r="B478" s="2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spans="1:28" ht="18">
      <c r="A479" s="19"/>
      <c r="B479" s="2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spans="1:28" ht="18">
      <c r="A480" s="19"/>
      <c r="B480" s="2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spans="1:28" ht="18">
      <c r="A481" s="19"/>
      <c r="B481" s="2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spans="1:28" ht="18">
      <c r="A482" s="19"/>
      <c r="B482" s="2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spans="1:28" ht="18">
      <c r="A483" s="19"/>
      <c r="B483" s="2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spans="1:28" ht="18">
      <c r="A484" s="19"/>
      <c r="B484" s="2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spans="1:28" ht="18">
      <c r="A485" s="19"/>
      <c r="B485" s="2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spans="1:28" ht="18">
      <c r="A486" s="19"/>
      <c r="B486" s="2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spans="1:28" ht="18">
      <c r="A487" s="19"/>
      <c r="B487" s="2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spans="1:28" ht="18">
      <c r="A488" s="19"/>
      <c r="B488" s="2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spans="1:28" ht="18">
      <c r="A489" s="19"/>
      <c r="B489" s="2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spans="1:28" ht="18">
      <c r="A490" s="19"/>
      <c r="B490" s="2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spans="1:28" ht="18">
      <c r="A491" s="19"/>
      <c r="B491" s="2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spans="1:28" ht="18">
      <c r="A492" s="19"/>
      <c r="B492" s="2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spans="1:28" ht="18">
      <c r="A493" s="19"/>
      <c r="B493" s="2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spans="1:28" ht="18">
      <c r="A494" s="19"/>
      <c r="B494" s="2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spans="1:28" ht="18">
      <c r="A495" s="19"/>
      <c r="B495" s="2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spans="1:28" ht="18">
      <c r="A496" s="19"/>
      <c r="B496" s="2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spans="1:28" ht="18">
      <c r="A497" s="19"/>
      <c r="B497" s="2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spans="1:28" ht="18">
      <c r="A498" s="19"/>
      <c r="B498" s="2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spans="1:28" ht="18">
      <c r="A499" s="19"/>
      <c r="B499" s="2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spans="1:28" ht="18">
      <c r="A500" s="19"/>
      <c r="B500" s="2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spans="1:28" ht="18">
      <c r="A501" s="19"/>
      <c r="B501" s="2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spans="1:28" ht="18">
      <c r="A502" s="19"/>
      <c r="B502" s="2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spans="1:28" ht="18">
      <c r="A503" s="19"/>
      <c r="B503" s="2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spans="1:28" ht="18">
      <c r="A504" s="19"/>
      <c r="B504" s="2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spans="1:28" ht="18">
      <c r="A505" s="19"/>
      <c r="B505" s="2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spans="1:28" ht="18">
      <c r="A506" s="19"/>
      <c r="B506" s="2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spans="1:28" ht="18">
      <c r="A507" s="19"/>
      <c r="B507" s="2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spans="1:28" ht="18">
      <c r="A508" s="19"/>
      <c r="B508" s="2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spans="1:28" ht="18">
      <c r="A509" s="19"/>
      <c r="B509" s="2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spans="1:28" ht="18">
      <c r="A510" s="19"/>
      <c r="B510" s="2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spans="1:28" ht="18">
      <c r="A511" s="19"/>
      <c r="B511" s="2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spans="1:28" ht="18">
      <c r="A512" s="19"/>
      <c r="B512" s="2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spans="1:28" ht="18">
      <c r="A513" s="19"/>
      <c r="B513" s="2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spans="1:28" ht="18">
      <c r="A514" s="19"/>
      <c r="B514" s="2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spans="1:28" ht="18">
      <c r="A515" s="19"/>
      <c r="B515" s="2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spans="1:28" ht="18">
      <c r="A516" s="19"/>
      <c r="B516" s="2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spans="1:28" ht="18">
      <c r="A517" s="19"/>
      <c r="B517" s="2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spans="1:28" ht="18">
      <c r="A518" s="19"/>
      <c r="B518" s="2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spans="1:28" ht="18">
      <c r="A519" s="19"/>
      <c r="B519" s="2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spans="1:28" ht="18">
      <c r="A520" s="19"/>
      <c r="B520" s="2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spans="1:28" ht="18">
      <c r="A521" s="19"/>
      <c r="B521" s="2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spans="1:28" ht="18">
      <c r="A522" s="19"/>
      <c r="B522" s="2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spans="1:28" ht="18">
      <c r="A523" s="19"/>
      <c r="B523" s="2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spans="1:28" ht="18">
      <c r="A524" s="19"/>
      <c r="B524" s="2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spans="1:28" ht="18">
      <c r="A525" s="19"/>
      <c r="B525" s="2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spans="1:28" ht="18">
      <c r="A526" s="19"/>
      <c r="B526" s="2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spans="1:28" ht="18">
      <c r="A527" s="19"/>
      <c r="B527" s="2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spans="1:28" ht="18">
      <c r="A528" s="19"/>
      <c r="B528" s="2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spans="1:28" ht="18">
      <c r="A529" s="19"/>
      <c r="B529" s="2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spans="1:28" ht="18">
      <c r="A530" s="19"/>
      <c r="B530" s="2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spans="1:28" ht="18">
      <c r="A531" s="19"/>
      <c r="B531" s="2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spans="1:28" ht="18">
      <c r="A532" s="19"/>
      <c r="B532" s="2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spans="1:28" ht="18">
      <c r="A533" s="19"/>
      <c r="B533" s="2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spans="1:28" ht="18">
      <c r="A534" s="19"/>
      <c r="B534" s="2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spans="1:28" ht="18">
      <c r="A535" s="19"/>
      <c r="B535" s="2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spans="1:28" ht="18">
      <c r="A536" s="19"/>
      <c r="B536" s="2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spans="1:28" ht="18">
      <c r="A537" s="19"/>
      <c r="B537" s="2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spans="1:28" ht="18">
      <c r="A538" s="19"/>
      <c r="B538" s="2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spans="1:28" ht="18">
      <c r="A539" s="19"/>
      <c r="B539" s="2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spans="1:28" ht="18">
      <c r="A540" s="19"/>
      <c r="B540" s="2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spans="1:28" ht="18">
      <c r="A541" s="19"/>
      <c r="B541" s="2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spans="1:28" ht="18">
      <c r="A542" s="19"/>
      <c r="B542" s="2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spans="1:28" ht="18">
      <c r="A543" s="19"/>
      <c r="B543" s="2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spans="1:28" ht="18">
      <c r="A544" s="19"/>
      <c r="B544" s="2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spans="1:28" ht="18">
      <c r="A545" s="19"/>
      <c r="B545" s="2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spans="1:28" ht="18">
      <c r="A546" s="19"/>
      <c r="B546" s="2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spans="1:28" ht="18">
      <c r="A547" s="19"/>
      <c r="B547" s="2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spans="1:28" ht="18">
      <c r="A548" s="19"/>
      <c r="B548" s="2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spans="1:28" ht="18">
      <c r="A549" s="19"/>
      <c r="B549" s="2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spans="1:28" ht="18">
      <c r="A550" s="19"/>
      <c r="B550" s="2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spans="1:28" ht="18">
      <c r="A551" s="19"/>
      <c r="B551" s="2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spans="1:28" ht="18">
      <c r="A552" s="19"/>
      <c r="B552" s="2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spans="1:28" ht="18">
      <c r="A553" s="19"/>
      <c r="B553" s="2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spans="1:28" ht="18">
      <c r="A554" s="19"/>
      <c r="B554" s="2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spans="1:28" ht="18">
      <c r="A555" s="19"/>
      <c r="B555" s="2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spans="1:28" ht="18">
      <c r="A556" s="19"/>
      <c r="B556" s="2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spans="1:28" ht="18">
      <c r="A557" s="19"/>
      <c r="B557" s="2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spans="1:28" ht="18">
      <c r="A558" s="19"/>
      <c r="B558" s="2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spans="1:28" ht="18">
      <c r="A559" s="19"/>
      <c r="B559" s="2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spans="1:28" ht="18">
      <c r="A560" s="19"/>
      <c r="B560" s="2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spans="1:28" ht="18">
      <c r="A561" s="19"/>
      <c r="B561" s="2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spans="1:28" ht="18">
      <c r="A562" s="19"/>
      <c r="B562" s="2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spans="1:28" ht="18">
      <c r="A563" s="19"/>
      <c r="B563" s="2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spans="1:28" ht="18">
      <c r="A564" s="19"/>
      <c r="B564" s="2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spans="1:28" ht="18">
      <c r="A565" s="19"/>
      <c r="B565" s="2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spans="1:28" ht="18">
      <c r="A566" s="19"/>
      <c r="B566" s="2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spans="1:28" ht="18">
      <c r="A567" s="19"/>
      <c r="B567" s="2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spans="1:28" ht="18">
      <c r="A568" s="19"/>
      <c r="B568" s="2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spans="1:28" ht="18">
      <c r="A569" s="19"/>
      <c r="B569" s="2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spans="1:28" ht="18">
      <c r="A570" s="19"/>
      <c r="B570" s="2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spans="1:28" ht="18">
      <c r="A571" s="19"/>
      <c r="B571" s="2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spans="1:28" ht="18">
      <c r="A572" s="19"/>
      <c r="B572" s="2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spans="1:28" ht="18">
      <c r="A573" s="19"/>
      <c r="B573" s="2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spans="1:28" ht="18">
      <c r="A574" s="19"/>
      <c r="B574" s="2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spans="1:28" ht="18">
      <c r="A575" s="19"/>
      <c r="B575" s="2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spans="1:28" ht="18">
      <c r="A576" s="19"/>
      <c r="B576" s="2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spans="1:28" ht="18">
      <c r="A577" s="19"/>
      <c r="B577" s="2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spans="1:28" ht="18">
      <c r="A578" s="19"/>
      <c r="B578" s="2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spans="1:28" ht="18">
      <c r="A579" s="19"/>
      <c r="B579" s="2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spans="1:28" ht="18">
      <c r="A580" s="19"/>
      <c r="B580" s="2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spans="1:28" ht="18">
      <c r="A581" s="19"/>
      <c r="B581" s="2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spans="1:28" ht="18">
      <c r="A582" s="19"/>
      <c r="B582" s="2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spans="1:28" ht="18">
      <c r="A583" s="19"/>
      <c r="B583" s="2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spans="1:28" ht="18">
      <c r="A584" s="19"/>
      <c r="B584" s="2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spans="1:28" ht="18">
      <c r="A585" s="19"/>
      <c r="B585" s="2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spans="1:28" ht="18">
      <c r="A586" s="19"/>
      <c r="B586" s="2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spans="1:28" ht="18">
      <c r="A587" s="19"/>
      <c r="B587" s="2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spans="1:28" ht="18">
      <c r="A588" s="19"/>
      <c r="B588" s="2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spans="1:28" ht="18">
      <c r="A589" s="19"/>
      <c r="B589" s="2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spans="1:28" ht="18">
      <c r="A590" s="19"/>
      <c r="B590" s="2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spans="1:28" ht="18">
      <c r="A591" s="19"/>
      <c r="B591" s="2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spans="1:28" ht="18">
      <c r="A592" s="19"/>
      <c r="B592" s="2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spans="1:28" ht="18">
      <c r="A593" s="19"/>
      <c r="B593" s="2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spans="1:28" ht="18">
      <c r="A594" s="19"/>
      <c r="B594" s="2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spans="1:28" ht="18">
      <c r="A595" s="19"/>
      <c r="B595" s="2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spans="1:28" ht="18">
      <c r="A596" s="19"/>
      <c r="B596" s="2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spans="1:28" ht="18">
      <c r="A597" s="19"/>
      <c r="B597" s="2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spans="1:28" ht="18">
      <c r="A598" s="19"/>
      <c r="B598" s="2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spans="1:28" ht="18">
      <c r="A599" s="19"/>
      <c r="B599" s="2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spans="1:28" ht="18">
      <c r="A600" s="19"/>
      <c r="B600" s="2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spans="1:28" ht="18">
      <c r="A601" s="19"/>
      <c r="B601" s="2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spans="1:28" ht="18">
      <c r="A602" s="19"/>
      <c r="B602" s="2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spans="1:28" ht="18">
      <c r="A603" s="19"/>
      <c r="B603" s="2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spans="1:28" ht="18">
      <c r="A604" s="19"/>
      <c r="B604" s="2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spans="1:28" ht="18">
      <c r="A605" s="19"/>
      <c r="B605" s="2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spans="1:28" ht="18">
      <c r="A606" s="19"/>
      <c r="B606" s="2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spans="1:28" ht="18">
      <c r="A607" s="19"/>
      <c r="B607" s="2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spans="1:28" ht="18">
      <c r="A608" s="19"/>
      <c r="B608" s="2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spans="1:28" ht="18">
      <c r="A609" s="19"/>
      <c r="B609" s="2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spans="1:28" ht="18">
      <c r="A610" s="19"/>
      <c r="B610" s="2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spans="1:28" ht="18">
      <c r="A611" s="19"/>
      <c r="B611" s="2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spans="1:28" ht="18">
      <c r="A612" s="19"/>
      <c r="B612" s="2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spans="1:28" ht="18">
      <c r="A613" s="19"/>
      <c r="B613" s="2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spans="1:28" ht="18">
      <c r="A614" s="19"/>
      <c r="B614" s="2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spans="1:28" ht="18">
      <c r="A615" s="19"/>
      <c r="B615" s="2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spans="1:28" ht="18">
      <c r="A616" s="19"/>
      <c r="B616" s="2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spans="1:28" ht="18">
      <c r="A617" s="19"/>
      <c r="B617" s="2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spans="1:28" ht="18">
      <c r="A618" s="19"/>
      <c r="B618" s="2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spans="1:28" ht="18">
      <c r="A619" s="19"/>
      <c r="B619" s="2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spans="1:28" ht="18">
      <c r="A620" s="19"/>
      <c r="B620" s="2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spans="1:28" ht="18">
      <c r="A621" s="19"/>
      <c r="B621" s="2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spans="1:28" ht="18">
      <c r="A622" s="19"/>
      <c r="B622" s="2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spans="1:28" ht="18">
      <c r="A623" s="19"/>
      <c r="B623" s="2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spans="1:28" ht="18">
      <c r="A624" s="19"/>
      <c r="B624" s="2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spans="1:28" ht="18">
      <c r="A625" s="19"/>
      <c r="B625" s="2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spans="1:28" ht="18">
      <c r="A626" s="19"/>
      <c r="B626" s="2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spans="1:28" ht="18">
      <c r="A627" s="19"/>
      <c r="B627" s="2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spans="1:28" ht="18">
      <c r="A628" s="19"/>
      <c r="B628" s="2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spans="1:28" ht="18">
      <c r="A629" s="19"/>
      <c r="B629" s="2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spans="1:28" ht="18">
      <c r="A630" s="19"/>
      <c r="B630" s="2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spans="1:28" ht="18">
      <c r="A631" s="19"/>
      <c r="B631" s="2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spans="1:28" ht="18">
      <c r="A632" s="19"/>
      <c r="B632" s="2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spans="1:28" ht="18">
      <c r="A633" s="19"/>
      <c r="B633" s="2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spans="1:28" ht="18">
      <c r="A634" s="19"/>
      <c r="B634" s="2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spans="1:28" ht="18">
      <c r="A635" s="19"/>
      <c r="B635" s="2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spans="1:28" ht="18">
      <c r="A636" s="19"/>
      <c r="B636" s="2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spans="1:28" ht="18">
      <c r="A637" s="19"/>
      <c r="B637" s="2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spans="1:28" ht="18">
      <c r="A638" s="19"/>
      <c r="B638" s="2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spans="1:28" ht="18">
      <c r="A639" s="19"/>
      <c r="B639" s="2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spans="1:28" ht="18">
      <c r="A640" s="19"/>
      <c r="B640" s="2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spans="1:28" ht="18">
      <c r="A641" s="19"/>
      <c r="B641" s="2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spans="1:28" ht="18">
      <c r="A642" s="19"/>
      <c r="B642" s="2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spans="1:28" ht="18">
      <c r="A643" s="19"/>
      <c r="B643" s="2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spans="1:28" ht="18">
      <c r="A644" s="19"/>
      <c r="B644" s="2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spans="1:28" ht="18">
      <c r="A645" s="19"/>
      <c r="B645" s="2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spans="1:28" ht="18">
      <c r="A646" s="19"/>
      <c r="B646" s="2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spans="1:28" ht="18">
      <c r="A647" s="19"/>
      <c r="B647" s="2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spans="1:28" ht="18">
      <c r="A648" s="19"/>
      <c r="B648" s="2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spans="1:28" ht="18">
      <c r="A649" s="19"/>
      <c r="B649" s="2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spans="1:28" ht="18">
      <c r="A650" s="19"/>
      <c r="B650" s="2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spans="1:28" ht="18">
      <c r="A651" s="19"/>
      <c r="B651" s="2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spans="1:28" ht="18">
      <c r="A652" s="19"/>
      <c r="B652" s="2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spans="1:28" ht="18">
      <c r="A653" s="19"/>
      <c r="B653" s="2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spans="1:28" ht="18">
      <c r="A654" s="19"/>
      <c r="B654" s="2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spans="1:28" ht="18">
      <c r="A655" s="19"/>
      <c r="B655" s="2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spans="1:28" ht="18">
      <c r="A656" s="19"/>
      <c r="B656" s="2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spans="1:28" ht="18">
      <c r="A657" s="19"/>
      <c r="B657" s="2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spans="1:28" ht="18">
      <c r="A658" s="19"/>
      <c r="B658" s="2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spans="1:28" ht="18">
      <c r="A659" s="19"/>
      <c r="B659" s="2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spans="1:28" ht="18">
      <c r="A660" s="19"/>
      <c r="B660" s="2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spans="1:28" ht="18">
      <c r="A661" s="19"/>
      <c r="B661" s="2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spans="1:28" ht="18">
      <c r="A662" s="19"/>
      <c r="B662" s="2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spans="1:28" ht="18">
      <c r="A663" s="19"/>
      <c r="B663" s="2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spans="1:28" ht="18">
      <c r="A664" s="19"/>
      <c r="B664" s="2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spans="1:28" ht="18">
      <c r="A665" s="19"/>
      <c r="B665" s="2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spans="1:28" ht="18">
      <c r="A666" s="19"/>
      <c r="B666" s="2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spans="1:28" ht="18">
      <c r="A667" s="19"/>
      <c r="B667" s="2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spans="1:28" ht="18">
      <c r="A668" s="19"/>
      <c r="B668" s="2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spans="1:28" ht="18">
      <c r="A669" s="19"/>
      <c r="B669" s="2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spans="1:28" ht="18">
      <c r="A670" s="19"/>
      <c r="B670" s="2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spans="1:28" ht="18">
      <c r="A671" s="19"/>
      <c r="B671" s="2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spans="1:28" ht="18">
      <c r="A672" s="19"/>
      <c r="B672" s="2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spans="1:28" ht="18">
      <c r="A673" s="19"/>
      <c r="B673" s="2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spans="1:28" ht="18">
      <c r="A674" s="19"/>
      <c r="B674" s="2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spans="1:28" ht="18">
      <c r="A675" s="19"/>
      <c r="B675" s="2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spans="1:28" ht="18">
      <c r="A676" s="19"/>
      <c r="B676" s="2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spans="1:28" ht="18">
      <c r="A677" s="19"/>
      <c r="B677" s="2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spans="1:28" ht="18">
      <c r="A678" s="19"/>
      <c r="B678" s="2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spans="1:28" ht="18">
      <c r="A679" s="19"/>
      <c r="B679" s="2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spans="1:28" ht="18">
      <c r="A680" s="19"/>
      <c r="B680" s="2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spans="1:28" ht="18">
      <c r="A681" s="19"/>
      <c r="B681" s="2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spans="1:28" ht="18">
      <c r="A682" s="19"/>
      <c r="B682" s="2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spans="1:28" ht="18">
      <c r="A683" s="19"/>
      <c r="B683" s="2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spans="1:28" ht="18">
      <c r="A684" s="19"/>
      <c r="B684" s="2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spans="1:28" ht="18">
      <c r="A685" s="19"/>
      <c r="B685" s="2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spans="1:28" ht="18">
      <c r="A686" s="19"/>
      <c r="B686" s="2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spans="1:28" ht="18">
      <c r="A687" s="19"/>
      <c r="B687" s="2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spans="1:28" ht="18">
      <c r="A688" s="19"/>
      <c r="B688" s="2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spans="1:28" ht="18">
      <c r="A689" s="19"/>
      <c r="B689" s="2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spans="1:28" ht="18">
      <c r="A690" s="19"/>
      <c r="B690" s="2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spans="1:28" ht="18">
      <c r="A691" s="19"/>
      <c r="B691" s="2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spans="1:28" ht="18">
      <c r="A692" s="19"/>
      <c r="B692" s="2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spans="1:28" ht="18">
      <c r="A693" s="19"/>
      <c r="B693" s="2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spans="1:28" ht="18">
      <c r="A694" s="19"/>
      <c r="B694" s="2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spans="1:28" ht="18">
      <c r="A695" s="19"/>
      <c r="B695" s="2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spans="1:28" ht="18">
      <c r="A696" s="19"/>
      <c r="B696" s="2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spans="1:28" ht="18">
      <c r="A697" s="19"/>
      <c r="B697" s="2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spans="1:28" ht="18">
      <c r="A698" s="19"/>
      <c r="B698" s="2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spans="1:28" ht="18">
      <c r="A699" s="19"/>
      <c r="B699" s="2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spans="1:28" ht="18">
      <c r="A700" s="19"/>
      <c r="B700" s="2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spans="1:28" ht="18">
      <c r="A701" s="19"/>
      <c r="B701" s="2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spans="1:28" ht="18">
      <c r="A702" s="19"/>
      <c r="B702" s="2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spans="1:28" ht="18">
      <c r="A703" s="19"/>
      <c r="B703" s="2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spans="1:28" ht="18">
      <c r="A704" s="19"/>
      <c r="B704" s="2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spans="1:28" ht="18">
      <c r="A705" s="19"/>
      <c r="B705" s="2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spans="1:28" ht="18">
      <c r="A706" s="19"/>
      <c r="B706" s="2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spans="1:28" ht="18">
      <c r="A707" s="19"/>
      <c r="B707" s="2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spans="1:28" ht="18">
      <c r="A708" s="19"/>
      <c r="B708" s="2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spans="1:28" ht="18">
      <c r="A709" s="19"/>
      <c r="B709" s="2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spans="1:28" ht="18">
      <c r="A710" s="19"/>
      <c r="B710" s="2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spans="1:28" ht="18">
      <c r="A711" s="19"/>
      <c r="B711" s="2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spans="1:28" ht="18">
      <c r="A712" s="19"/>
      <c r="B712" s="2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spans="1:28" ht="18">
      <c r="A713" s="19"/>
      <c r="B713" s="2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spans="1:28" ht="18">
      <c r="A714" s="19"/>
      <c r="B714" s="2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spans="1:28" ht="18">
      <c r="A715" s="19"/>
      <c r="B715" s="2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spans="1:28" ht="18">
      <c r="A716" s="19"/>
      <c r="B716" s="2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spans="1:28" ht="18">
      <c r="A717" s="19"/>
      <c r="B717" s="2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spans="1:28" ht="18">
      <c r="A718" s="19"/>
      <c r="B718" s="2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spans="1:28" ht="18">
      <c r="A719" s="19"/>
      <c r="B719" s="2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spans="1:28" ht="18">
      <c r="A720" s="19"/>
      <c r="B720" s="2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spans="1:28" ht="18">
      <c r="A721" s="19"/>
      <c r="B721" s="2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spans="1:28" ht="18">
      <c r="A722" s="19"/>
      <c r="B722" s="2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spans="1:28" ht="18">
      <c r="A723" s="19"/>
      <c r="B723" s="2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spans="1:28" ht="18">
      <c r="A724" s="19"/>
      <c r="B724" s="2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spans="1:28" ht="18">
      <c r="A725" s="19"/>
      <c r="B725" s="2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spans="1:28" ht="18">
      <c r="A726" s="19"/>
      <c r="B726" s="2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spans="1:28" ht="18">
      <c r="A727" s="19"/>
      <c r="B727" s="2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spans="1:28" ht="18">
      <c r="A728" s="19"/>
      <c r="B728" s="2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spans="1:28" ht="18">
      <c r="A729" s="19"/>
      <c r="B729" s="2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spans="1:28" ht="18">
      <c r="A730" s="19"/>
      <c r="B730" s="2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spans="1:28" ht="18">
      <c r="A731" s="19"/>
      <c r="B731" s="2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spans="1:28" ht="18">
      <c r="A732" s="19"/>
      <c r="B732" s="2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spans="1:28" ht="18">
      <c r="A733" s="19"/>
      <c r="B733" s="2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spans="1:28" ht="18">
      <c r="A734" s="19"/>
      <c r="B734" s="2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spans="1:28" ht="18">
      <c r="A735" s="19"/>
      <c r="B735" s="2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spans="1:28" ht="18">
      <c r="A736" s="19"/>
      <c r="B736" s="2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spans="1:28" ht="18">
      <c r="A737" s="19"/>
      <c r="B737" s="2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spans="1:28" ht="18">
      <c r="A738" s="19"/>
      <c r="B738" s="2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spans="1:28" ht="18">
      <c r="A739" s="19"/>
      <c r="B739" s="2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spans="1:28" ht="18">
      <c r="A740" s="19"/>
      <c r="B740" s="2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spans="1:28" ht="18">
      <c r="A741" s="19"/>
      <c r="B741" s="2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spans="1:28" ht="18">
      <c r="A742" s="19"/>
      <c r="B742" s="2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spans="1:28" ht="18">
      <c r="A743" s="19"/>
      <c r="B743" s="2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spans="1:28" ht="18">
      <c r="A744" s="19"/>
      <c r="B744" s="2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spans="1:28" ht="18">
      <c r="A745" s="19"/>
      <c r="B745" s="2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spans="1:28" ht="18">
      <c r="A746" s="19"/>
      <c r="B746" s="2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spans="1:28" ht="18">
      <c r="A747" s="19"/>
      <c r="B747" s="2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spans="1:28" ht="18">
      <c r="A748" s="19"/>
      <c r="B748" s="2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spans="1:28" ht="18">
      <c r="A749" s="19"/>
      <c r="B749" s="2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spans="1:28" ht="18">
      <c r="A750" s="19"/>
      <c r="B750" s="2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spans="1:28" ht="18">
      <c r="A751" s="19"/>
      <c r="B751" s="2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spans="1:28" ht="18">
      <c r="A752" s="19"/>
      <c r="B752" s="2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spans="1:28" ht="18">
      <c r="A753" s="19"/>
      <c r="B753" s="2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spans="1:28" ht="18">
      <c r="A754" s="19"/>
      <c r="B754" s="2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spans="1:28" ht="18">
      <c r="A755" s="19"/>
      <c r="B755" s="2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spans="1:28" ht="18">
      <c r="A756" s="19"/>
      <c r="B756" s="2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spans="1:28" ht="18">
      <c r="A757" s="19"/>
      <c r="B757" s="2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spans="1:28" ht="18">
      <c r="A758" s="19"/>
      <c r="B758" s="2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spans="1:28" ht="18">
      <c r="A759" s="19"/>
      <c r="B759" s="2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spans="1:28" ht="18">
      <c r="A760" s="19"/>
      <c r="B760" s="2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spans="1:28" ht="18">
      <c r="A761" s="19"/>
      <c r="B761" s="2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spans="1:28" ht="18">
      <c r="A762" s="19"/>
      <c r="B762" s="2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spans="1:28" ht="18">
      <c r="A763" s="19"/>
      <c r="B763" s="2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spans="1:28" ht="18">
      <c r="A764" s="19"/>
      <c r="B764" s="2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spans="1:28" ht="18">
      <c r="A765" s="19"/>
      <c r="B765" s="2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spans="1:28" ht="18">
      <c r="A766" s="19"/>
      <c r="B766" s="2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spans="1:28" ht="18">
      <c r="A767" s="19"/>
      <c r="B767" s="2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spans="1:28" ht="18">
      <c r="A768" s="19"/>
      <c r="B768" s="2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spans="1:28" ht="18">
      <c r="A769" s="19"/>
      <c r="B769" s="2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spans="1:28" ht="18">
      <c r="A770" s="19"/>
      <c r="B770" s="2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spans="1:28" ht="18">
      <c r="A771" s="19"/>
      <c r="B771" s="2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spans="1:28" ht="18">
      <c r="A772" s="19"/>
      <c r="B772" s="2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spans="1:28" ht="18">
      <c r="A773" s="19"/>
      <c r="B773" s="2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spans="1:28" ht="18">
      <c r="A774" s="19"/>
      <c r="B774" s="2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spans="1:28" ht="18">
      <c r="A775" s="19"/>
      <c r="B775" s="2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spans="1:28" ht="18">
      <c r="A776" s="19"/>
      <c r="B776" s="2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spans="1:28" ht="18">
      <c r="A777" s="19"/>
      <c r="B777" s="2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spans="1:28" ht="18">
      <c r="A778" s="19"/>
      <c r="B778" s="2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spans="1:28" ht="18">
      <c r="A779" s="19"/>
      <c r="B779" s="2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spans="1:28" ht="18">
      <c r="A780" s="19"/>
      <c r="B780" s="2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spans="1:28" ht="18">
      <c r="A781" s="19"/>
      <c r="B781" s="2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spans="1:28" ht="18">
      <c r="A782" s="19"/>
      <c r="B782" s="2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spans="1:28" ht="18">
      <c r="A783" s="19"/>
      <c r="B783" s="2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spans="1:28" ht="18">
      <c r="A784" s="19"/>
      <c r="B784" s="2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spans="1:28" ht="18">
      <c r="A785" s="19"/>
      <c r="B785" s="2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spans="1:28" ht="18">
      <c r="A786" s="19"/>
      <c r="B786" s="2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spans="1:28" ht="18">
      <c r="A787" s="19"/>
      <c r="B787" s="2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spans="1:28" ht="18">
      <c r="A788" s="19"/>
      <c r="B788" s="2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spans="1:28" ht="18">
      <c r="A789" s="19"/>
      <c r="B789" s="2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spans="1:28" ht="18">
      <c r="A790" s="19"/>
      <c r="B790" s="2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spans="1:28" ht="18">
      <c r="A791" s="19"/>
      <c r="B791" s="2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spans="1:28" ht="18">
      <c r="A792" s="19"/>
      <c r="B792" s="2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spans="1:28" ht="18">
      <c r="A793" s="19"/>
      <c r="B793" s="2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spans="1:28" ht="18">
      <c r="A794" s="19"/>
      <c r="B794" s="2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spans="1:28" ht="18">
      <c r="A795" s="19"/>
      <c r="B795" s="2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spans="1:28" ht="18">
      <c r="A796" s="19"/>
      <c r="B796" s="2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spans="1:28" ht="18">
      <c r="A797" s="19"/>
      <c r="B797" s="2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spans="1:28" ht="18">
      <c r="A798" s="19"/>
      <c r="B798" s="2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spans="1:28" ht="18">
      <c r="A799" s="19"/>
      <c r="B799" s="2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spans="1:28" ht="18">
      <c r="A800" s="19"/>
      <c r="B800" s="2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spans="1:28" ht="18">
      <c r="A801" s="19"/>
      <c r="B801" s="2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spans="1:28" ht="18">
      <c r="A802" s="19"/>
      <c r="B802" s="2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spans="1:28" ht="18">
      <c r="A803" s="19"/>
      <c r="B803" s="2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spans="1:28" ht="18">
      <c r="A804" s="19"/>
      <c r="B804" s="2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spans="1:28" ht="18">
      <c r="A805" s="19"/>
      <c r="B805" s="2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spans="1:28" ht="18">
      <c r="A806" s="19"/>
      <c r="B806" s="2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spans="1:28" ht="18">
      <c r="A807" s="19"/>
      <c r="B807" s="2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spans="1:28" ht="18">
      <c r="A808" s="19"/>
      <c r="B808" s="2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spans="1:28" ht="18">
      <c r="A809" s="19"/>
      <c r="B809" s="2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spans="1:28" ht="18">
      <c r="A810" s="19"/>
      <c r="B810" s="2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spans="1:28" ht="18">
      <c r="A811" s="19"/>
      <c r="B811" s="2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spans="1:28" ht="18">
      <c r="A812" s="19"/>
      <c r="B812" s="2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spans="1:28" ht="18">
      <c r="A813" s="19"/>
      <c r="B813" s="2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spans="1:28" ht="18">
      <c r="A814" s="19"/>
      <c r="B814" s="2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spans="1:28" ht="18">
      <c r="A815" s="19"/>
      <c r="B815" s="2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spans="1:28" ht="18">
      <c r="A816" s="19"/>
      <c r="B816" s="2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spans="1:28" ht="18">
      <c r="A817" s="19"/>
      <c r="B817" s="2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spans="1:28" ht="18">
      <c r="A818" s="19"/>
      <c r="B818" s="2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spans="1:28" ht="18">
      <c r="A819" s="19"/>
      <c r="B819" s="2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spans="1:28" ht="18">
      <c r="A820" s="19"/>
      <c r="B820" s="2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spans="1:28" ht="18">
      <c r="A821" s="19"/>
      <c r="B821" s="2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spans="1:28" ht="18">
      <c r="A822" s="19"/>
      <c r="B822" s="2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spans="1:28" ht="18">
      <c r="A823" s="19"/>
      <c r="B823" s="2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spans="1:28" ht="18">
      <c r="A824" s="19"/>
      <c r="B824" s="2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spans="1:28" ht="18">
      <c r="A825" s="19"/>
      <c r="B825" s="2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spans="1:28" ht="18">
      <c r="A826" s="19"/>
      <c r="B826" s="2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spans="1:28" ht="18">
      <c r="A827" s="19"/>
      <c r="B827" s="2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spans="1:28" ht="18">
      <c r="A828" s="19"/>
      <c r="B828" s="2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spans="1:28" ht="18">
      <c r="A829" s="19"/>
      <c r="B829" s="2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spans="1:28" ht="18">
      <c r="A830" s="19"/>
      <c r="B830" s="2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spans="1:28" ht="18">
      <c r="A831" s="19"/>
      <c r="B831" s="2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spans="1:28" ht="18">
      <c r="A832" s="19"/>
      <c r="B832" s="2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spans="1:28" ht="18">
      <c r="A833" s="19"/>
      <c r="B833" s="2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spans="1:28" ht="18">
      <c r="A834" s="19"/>
      <c r="B834" s="2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spans="1:28" ht="18">
      <c r="A835" s="19"/>
      <c r="B835" s="2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spans="1:28" ht="18">
      <c r="A836" s="19"/>
      <c r="B836" s="2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spans="1:28" ht="18">
      <c r="A837" s="19"/>
      <c r="B837" s="2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spans="1:28" ht="18">
      <c r="A838" s="19"/>
      <c r="B838" s="2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spans="1:28" ht="18">
      <c r="A839" s="19"/>
      <c r="B839" s="2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spans="1:28" ht="18">
      <c r="A840" s="19"/>
      <c r="B840" s="2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spans="1:28" ht="18">
      <c r="A841" s="19"/>
      <c r="B841" s="2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spans="1:28" ht="18">
      <c r="A842" s="19"/>
      <c r="B842" s="2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spans="1:28" ht="18">
      <c r="A843" s="19"/>
      <c r="B843" s="2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spans="1:28" ht="18">
      <c r="A844" s="19"/>
      <c r="B844" s="2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spans="1:28" ht="18">
      <c r="A845" s="19"/>
      <c r="B845" s="2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spans="1:28" ht="18">
      <c r="A846" s="19"/>
      <c r="B846" s="2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spans="1:28" ht="18">
      <c r="A847" s="19"/>
      <c r="B847" s="2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spans="1:28" ht="18">
      <c r="A848" s="19"/>
      <c r="B848" s="2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spans="1:28" ht="18">
      <c r="A849" s="19"/>
      <c r="B849" s="2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spans="1:28" ht="18">
      <c r="A850" s="19"/>
      <c r="B850" s="2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spans="1:28" ht="18">
      <c r="A851" s="19"/>
      <c r="B851" s="2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spans="1:28" ht="18">
      <c r="A852" s="19"/>
      <c r="B852" s="2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spans="1:28" ht="18">
      <c r="A853" s="19"/>
      <c r="B853" s="2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spans="1:28" ht="18">
      <c r="A854" s="19"/>
      <c r="B854" s="2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spans="1:28" ht="18">
      <c r="A855" s="19"/>
      <c r="B855" s="2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spans="1:28" ht="18">
      <c r="A856" s="19"/>
      <c r="B856" s="2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spans="1:28" ht="18">
      <c r="A857" s="19"/>
      <c r="B857" s="2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spans="1:28" ht="18">
      <c r="A858" s="19"/>
      <c r="B858" s="2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spans="1:28" ht="18">
      <c r="A859" s="19"/>
      <c r="B859" s="2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spans="1:28" ht="18">
      <c r="A860" s="19"/>
      <c r="B860" s="2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spans="1:28" ht="18">
      <c r="A861" s="19"/>
      <c r="B861" s="2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spans="1:28" ht="18">
      <c r="A862" s="19"/>
      <c r="B862" s="2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spans="1:28" ht="18">
      <c r="A863" s="19"/>
      <c r="B863" s="2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spans="1:28" ht="18">
      <c r="A864" s="19"/>
      <c r="B864" s="2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spans="1:28" ht="18">
      <c r="A865" s="19"/>
      <c r="B865" s="2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spans="1:28" ht="18">
      <c r="A866" s="19"/>
      <c r="B866" s="2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spans="1:28" ht="18">
      <c r="A867" s="19"/>
      <c r="B867" s="2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spans="1:28" ht="18">
      <c r="A868" s="19"/>
      <c r="B868" s="2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spans="1:28" ht="18">
      <c r="A869" s="19"/>
      <c r="B869" s="2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spans="1:28" ht="18">
      <c r="A870" s="19"/>
      <c r="B870" s="2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spans="1:28" ht="18">
      <c r="A871" s="19"/>
      <c r="B871" s="2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spans="1:28" ht="18">
      <c r="A872" s="19"/>
      <c r="B872" s="2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spans="1:28" ht="18">
      <c r="A873" s="19"/>
      <c r="B873" s="2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spans="1:28" ht="18">
      <c r="A874" s="19"/>
      <c r="B874" s="2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spans="1:28" ht="18">
      <c r="A875" s="19"/>
      <c r="B875" s="2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spans="1:28" ht="18">
      <c r="A876" s="19"/>
      <c r="B876" s="2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spans="1:28" ht="18">
      <c r="A877" s="19"/>
      <c r="B877" s="2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spans="1:28" ht="18">
      <c r="A878" s="19"/>
      <c r="B878" s="2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spans="1:28" ht="18">
      <c r="A879" s="19"/>
      <c r="B879" s="2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spans="1:28" ht="18">
      <c r="A880" s="19"/>
      <c r="B880" s="2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spans="1:28" ht="18">
      <c r="A881" s="19"/>
      <c r="B881" s="2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spans="1:28" ht="18">
      <c r="A882" s="19"/>
      <c r="B882" s="2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spans="1:28" ht="18">
      <c r="A883" s="19"/>
      <c r="B883" s="2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spans="1:28" ht="18">
      <c r="A884" s="19"/>
      <c r="B884" s="2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spans="1:28" ht="18">
      <c r="A885" s="19"/>
      <c r="B885" s="2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spans="1:28" ht="18">
      <c r="A886" s="19"/>
      <c r="B886" s="2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spans="1:28" ht="18">
      <c r="A887" s="19"/>
      <c r="B887" s="2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spans="1:28" ht="18">
      <c r="A888" s="19"/>
      <c r="B888" s="2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spans="1:28" ht="18">
      <c r="A889" s="19"/>
      <c r="B889" s="2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spans="1:28" ht="18">
      <c r="A890" s="19"/>
      <c r="B890" s="2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spans="1:28" ht="18">
      <c r="A891" s="19"/>
      <c r="B891" s="2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spans="1:28" ht="18">
      <c r="A892" s="19"/>
      <c r="B892" s="2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spans="1:28" ht="18">
      <c r="A893" s="19"/>
      <c r="B893" s="2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spans="1:28" ht="18">
      <c r="A894" s="19"/>
      <c r="B894" s="2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spans="1:28" ht="18">
      <c r="A895" s="19"/>
      <c r="B895" s="2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spans="1:28" ht="18">
      <c r="A896" s="19"/>
      <c r="B896" s="2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spans="1:28" ht="18">
      <c r="A897" s="19"/>
      <c r="B897" s="2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spans="1:28" ht="18">
      <c r="A898" s="19"/>
      <c r="B898" s="2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spans="1:28" ht="18">
      <c r="A899" s="19"/>
      <c r="B899" s="2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spans="1:28" ht="18">
      <c r="A900" s="19"/>
      <c r="B900" s="2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spans="1:28" ht="18">
      <c r="A901" s="19"/>
      <c r="B901" s="2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spans="1:28" ht="18">
      <c r="A902" s="19"/>
      <c r="B902" s="2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spans="1:28" ht="18">
      <c r="A903" s="19"/>
      <c r="B903" s="2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spans="1:28" ht="18">
      <c r="A904" s="19"/>
      <c r="B904" s="2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spans="1:28" ht="18">
      <c r="A905" s="19"/>
      <c r="B905" s="2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spans="1:28" ht="18">
      <c r="A906" s="19"/>
      <c r="B906" s="2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spans="1:28" ht="18">
      <c r="A907" s="19"/>
      <c r="B907" s="2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spans="1:28" ht="18">
      <c r="A908" s="19"/>
      <c r="B908" s="2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spans="1:28" ht="18">
      <c r="A909" s="19"/>
      <c r="B909" s="2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spans="1:28" ht="18">
      <c r="A910" s="19"/>
      <c r="B910" s="2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spans="1:28" ht="18">
      <c r="A911" s="19"/>
      <c r="B911" s="2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spans="1:28" ht="18">
      <c r="A912" s="19"/>
      <c r="B912" s="2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spans="1:28" ht="18">
      <c r="A913" s="19"/>
      <c r="B913" s="2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spans="1:28" ht="18">
      <c r="A914" s="19"/>
      <c r="B914" s="2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spans="1:28" ht="18">
      <c r="A915" s="19"/>
      <c r="B915" s="2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spans="1:28" ht="18">
      <c r="A916" s="19"/>
      <c r="B916" s="2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spans="1:28" ht="18">
      <c r="A917" s="19"/>
      <c r="B917" s="2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spans="1:28" ht="18">
      <c r="A918" s="19"/>
      <c r="B918" s="2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spans="1:28" ht="18">
      <c r="A919" s="19"/>
      <c r="B919" s="2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spans="1:28" ht="18">
      <c r="A920" s="19"/>
      <c r="B920" s="2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spans="1:28" ht="18">
      <c r="A921" s="19"/>
      <c r="B921" s="2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spans="1:28" ht="18">
      <c r="A922" s="19"/>
      <c r="B922" s="2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spans="1:28" ht="18">
      <c r="A923" s="19"/>
      <c r="B923" s="2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spans="1:28" ht="18">
      <c r="A924" s="19"/>
      <c r="B924" s="2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spans="1:28" ht="18">
      <c r="A925" s="19"/>
      <c r="B925" s="2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spans="1:28" ht="18">
      <c r="A926" s="19"/>
      <c r="B926" s="2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spans="1:28" ht="18">
      <c r="A927" s="19"/>
      <c r="B927" s="2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spans="1:28" ht="18">
      <c r="A928" s="19"/>
      <c r="B928" s="2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spans="1:28" ht="18">
      <c r="A929" s="19"/>
      <c r="B929" s="2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spans="1:28" ht="18">
      <c r="A930" s="19"/>
      <c r="B930" s="2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spans="1:28" ht="18">
      <c r="A931" s="19"/>
      <c r="B931" s="2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spans="1:28" ht="18">
      <c r="A932" s="19"/>
      <c r="B932" s="2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spans="1:28" ht="18">
      <c r="A933" s="19"/>
      <c r="B933" s="2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spans="1:28" ht="18">
      <c r="A934" s="19"/>
      <c r="B934" s="2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spans="1:28" ht="18">
      <c r="A935" s="19"/>
      <c r="B935" s="2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spans="1:28" ht="18">
      <c r="A936" s="19"/>
      <c r="B936" s="2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spans="1:28" ht="18">
      <c r="A937" s="19"/>
      <c r="B937" s="2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spans="1:28" ht="18">
      <c r="A938" s="19"/>
      <c r="B938" s="2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spans="1:28" ht="18">
      <c r="A939" s="19"/>
      <c r="B939" s="2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spans="1:28" ht="18">
      <c r="A940" s="19"/>
      <c r="B940" s="2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spans="1:28" ht="18">
      <c r="A941" s="19"/>
      <c r="B941" s="2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spans="1:28" ht="18">
      <c r="A942" s="19"/>
      <c r="B942" s="2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spans="1:28" ht="18">
      <c r="A943" s="19"/>
      <c r="B943" s="2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spans="1:28" ht="18">
      <c r="A944" s="19"/>
      <c r="B944" s="2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spans="1:28" ht="18">
      <c r="A945" s="19"/>
      <c r="B945" s="2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spans="1:28" ht="18">
      <c r="A946" s="19"/>
      <c r="B946" s="2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spans="1:28" ht="18">
      <c r="A947" s="19"/>
      <c r="B947" s="2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spans="1:28" ht="18">
      <c r="A948" s="19"/>
      <c r="B948" s="2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spans="1:28" ht="18">
      <c r="A949" s="19"/>
      <c r="B949" s="2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spans="1:28" ht="18">
      <c r="A950" s="19"/>
      <c r="B950" s="2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spans="1:28" ht="18">
      <c r="A951" s="19"/>
      <c r="B951" s="2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spans="1:28" ht="18">
      <c r="A952" s="19"/>
      <c r="B952" s="2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spans="1:28" ht="18">
      <c r="A953" s="19"/>
      <c r="B953" s="2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spans="1:28" ht="18">
      <c r="A954" s="19"/>
      <c r="B954" s="2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spans="1:28" ht="18">
      <c r="A955" s="19"/>
      <c r="B955" s="2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spans="1:28" ht="18">
      <c r="A956" s="19"/>
      <c r="B956" s="2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spans="1:28" ht="18">
      <c r="A957" s="19"/>
      <c r="B957" s="2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spans="1:28" ht="18">
      <c r="A958" s="19"/>
      <c r="B958" s="2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spans="1:28" ht="18">
      <c r="A959" s="19"/>
      <c r="B959" s="2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spans="1:28" ht="18">
      <c r="A960" s="19"/>
      <c r="B960" s="2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spans="1:28" ht="18">
      <c r="A961" s="19"/>
      <c r="B961" s="2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spans="1:28" ht="18">
      <c r="A962" s="19"/>
      <c r="B962" s="2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spans="1:28" ht="18">
      <c r="A963" s="19"/>
      <c r="B963" s="2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spans="1:28" ht="18">
      <c r="A964" s="19"/>
      <c r="B964" s="2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spans="1:28" ht="18">
      <c r="A965" s="19"/>
      <c r="B965" s="2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spans="1:28" ht="18">
      <c r="A966" s="19"/>
      <c r="B966" s="2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spans="1:28" ht="18">
      <c r="A967" s="19"/>
      <c r="B967" s="2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spans="1:28" ht="18">
      <c r="A968" s="19"/>
      <c r="B968" s="2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spans="1:28" ht="18">
      <c r="A969" s="19"/>
      <c r="B969" s="2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spans="1:28" ht="18">
      <c r="A970" s="19"/>
      <c r="B970" s="2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spans="1:28" ht="18">
      <c r="A971" s="19"/>
      <c r="B971" s="2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spans="1:28" ht="18">
      <c r="A972" s="19"/>
      <c r="B972" s="2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spans="1:28" ht="18">
      <c r="A973" s="19"/>
      <c r="B973" s="2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spans="1:28" ht="18">
      <c r="A974" s="19"/>
      <c r="B974" s="2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spans="1:28" ht="18">
      <c r="A975" s="19"/>
      <c r="B975" s="2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spans="1:28" ht="18">
      <c r="A976" s="19"/>
      <c r="B976" s="2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spans="1:28" ht="18">
      <c r="A977" s="19"/>
      <c r="B977" s="2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spans="1:28" ht="18">
      <c r="A978" s="19"/>
      <c r="B978" s="2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spans="1:28" ht="18">
      <c r="A979" s="19"/>
      <c r="B979" s="2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spans="1:28" ht="18">
      <c r="A980" s="19"/>
      <c r="B980" s="2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spans="1:28" ht="18">
      <c r="A981" s="19"/>
      <c r="B981" s="2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spans="1:28" ht="18">
      <c r="A982" s="19"/>
      <c r="B982" s="2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spans="1:28" ht="18">
      <c r="A983" s="19"/>
      <c r="B983" s="2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spans="1:28" ht="18">
      <c r="A984" s="19"/>
      <c r="B984" s="2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spans="1:28" ht="18">
      <c r="A985" s="19"/>
      <c r="B985" s="2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spans="1:28" ht="18">
      <c r="A986" s="19"/>
      <c r="B986" s="2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spans="1:28" ht="18">
      <c r="A987" s="19"/>
      <c r="B987" s="2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spans="1:28" ht="18">
      <c r="A988" s="19"/>
      <c r="B988" s="2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spans="1:28" ht="18">
      <c r="A989" s="19"/>
      <c r="B989" s="2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spans="1:28" ht="18">
      <c r="A990" s="19"/>
      <c r="B990" s="2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spans="1:28" ht="18">
      <c r="A991" s="19"/>
      <c r="B991" s="2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spans="1:28" ht="18">
      <c r="A992" s="19"/>
      <c r="B992" s="2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spans="1:28" ht="18">
      <c r="A993" s="19"/>
      <c r="B993" s="2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spans="1:28" ht="18">
      <c r="A994" s="19"/>
      <c r="B994" s="2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spans="1:28" ht="18">
      <c r="A995" s="19"/>
      <c r="B995" s="2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spans="1:28" ht="18">
      <c r="A996" s="19"/>
      <c r="B996" s="2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 spans="1:28" ht="18">
      <c r="A997" s="19"/>
      <c r="B997" s="2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 spans="1:28" ht="18">
      <c r="A998" s="19"/>
      <c r="B998" s="2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 spans="1:28" ht="18">
      <c r="A999" s="19"/>
      <c r="B999" s="2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 spans="1:28" ht="18">
      <c r="A1000" s="19"/>
      <c r="B1000" s="2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  <row r="1001" spans="1:28" ht="18">
      <c r="A1001" s="19"/>
      <c r="B1001" s="2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</row>
    <row r="1002" spans="1:28" ht="18">
      <c r="A1002" s="19"/>
      <c r="B1002" s="2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</row>
    <row r="1003" spans="1:28" ht="18">
      <c r="A1003" s="19"/>
      <c r="B1003" s="2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</row>
    <row r="1004" spans="1:28" ht="18">
      <c r="A1004" s="19"/>
      <c r="B1004" s="2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</row>
    <row r="1005" spans="1:28" ht="18">
      <c r="A1005" s="19"/>
      <c r="B1005" s="2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</row>
    <row r="1006" spans="1:28" ht="18">
      <c r="A1006" s="19"/>
      <c r="B1006" s="2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</row>
  </sheetData>
  <mergeCells count="40">
    <mergeCell ref="Q4:R4"/>
    <mergeCell ref="S4:T4"/>
    <mergeCell ref="A4:A5"/>
    <mergeCell ref="B4:B5"/>
    <mergeCell ref="C4:C5"/>
    <mergeCell ref="D4:D5"/>
    <mergeCell ref="E4:F4"/>
    <mergeCell ref="G4:H4"/>
    <mergeCell ref="O34:P34"/>
    <mergeCell ref="I4:J4"/>
    <mergeCell ref="K4:L4"/>
    <mergeCell ref="M4:N4"/>
    <mergeCell ref="O4:P4"/>
    <mergeCell ref="E34:F34"/>
    <mergeCell ref="G34:H34"/>
    <mergeCell ref="I34:J34"/>
    <mergeCell ref="K34:L34"/>
    <mergeCell ref="M34:N34"/>
    <mergeCell ref="AA34:AB34"/>
    <mergeCell ref="U4:V4"/>
    <mergeCell ref="W4:X4"/>
    <mergeCell ref="Y4:Z4"/>
    <mergeCell ref="AA4:AB4"/>
    <mergeCell ref="Q34:R34"/>
    <mergeCell ref="S34:T34"/>
    <mergeCell ref="U34:V34"/>
    <mergeCell ref="W34:X34"/>
    <mergeCell ref="Y34:Z34"/>
    <mergeCell ref="AA39:AB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D7C7-4B4B-8945-847D-5F2C9C24FC6F}">
  <sheetPr>
    <outlinePr summaryBelow="0" summaryRight="0"/>
  </sheetPr>
  <dimension ref="A1:AB1006"/>
  <sheetViews>
    <sheetView workbookViewId="0">
      <selection activeCell="K10" sqref="K10"/>
    </sheetView>
  </sheetViews>
  <sheetFormatPr baseColWidth="10" defaultColWidth="12.6640625" defaultRowHeight="15.75" customHeight="1"/>
  <cols>
    <col min="1" max="1" width="4.5" style="20" customWidth="1"/>
    <col min="2" max="2" width="11.33203125" style="20" customWidth="1"/>
    <col min="3" max="3" width="39.6640625" style="20" customWidth="1"/>
    <col min="4" max="4" width="5.6640625" style="20" customWidth="1"/>
    <col min="5" max="28" width="5.1640625" style="20" customWidth="1"/>
    <col min="29" max="16384" width="12.6640625" style="20"/>
  </cols>
  <sheetData>
    <row r="1" spans="1:28" ht="15.75" customHeight="1">
      <c r="A1" s="19" t="s">
        <v>609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ht="15.75" customHeight="1">
      <c r="A2" s="19" t="s">
        <v>610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ht="15.75" customHeight="1">
      <c r="A3" s="19" t="s">
        <v>611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ht="16" customHeight="1">
      <c r="A4" s="41" t="s">
        <v>0</v>
      </c>
      <c r="B4" s="41" t="s">
        <v>612</v>
      </c>
      <c r="C4" s="41" t="s">
        <v>613</v>
      </c>
      <c r="D4" s="41" t="s">
        <v>2</v>
      </c>
      <c r="E4" s="39" t="s">
        <v>615</v>
      </c>
      <c r="F4" s="40"/>
      <c r="G4" s="39" t="s">
        <v>615</v>
      </c>
      <c r="H4" s="40"/>
      <c r="I4" s="39" t="s">
        <v>615</v>
      </c>
      <c r="J4" s="40"/>
      <c r="K4" s="39" t="s">
        <v>615</v>
      </c>
      <c r="L4" s="40"/>
      <c r="M4" s="39" t="s">
        <v>615</v>
      </c>
      <c r="N4" s="40"/>
      <c r="O4" s="39" t="s">
        <v>615</v>
      </c>
      <c r="P4" s="40"/>
      <c r="Q4" s="39" t="s">
        <v>615</v>
      </c>
      <c r="R4" s="40"/>
      <c r="S4" s="39" t="s">
        <v>615</v>
      </c>
      <c r="T4" s="40"/>
      <c r="U4" s="39" t="s">
        <v>615</v>
      </c>
      <c r="V4" s="40"/>
      <c r="W4" s="39" t="s">
        <v>615</v>
      </c>
      <c r="X4" s="40"/>
      <c r="Y4" s="39" t="s">
        <v>615</v>
      </c>
      <c r="Z4" s="40"/>
      <c r="AA4" s="39" t="s">
        <v>615</v>
      </c>
      <c r="AB4" s="40"/>
    </row>
    <row r="5" spans="1:28" ht="16" customHeight="1">
      <c r="A5" s="42"/>
      <c r="B5" s="42"/>
      <c r="C5" s="42"/>
      <c r="D5" s="42"/>
      <c r="E5" s="21" t="s">
        <v>616</v>
      </c>
      <c r="F5" s="21" t="s">
        <v>617</v>
      </c>
      <c r="G5" s="21" t="s">
        <v>616</v>
      </c>
      <c r="H5" s="21" t="s">
        <v>617</v>
      </c>
      <c r="I5" s="21" t="s">
        <v>616</v>
      </c>
      <c r="J5" s="21" t="s">
        <v>617</v>
      </c>
      <c r="K5" s="21" t="s">
        <v>616</v>
      </c>
      <c r="L5" s="21" t="s">
        <v>617</v>
      </c>
      <c r="M5" s="21" t="s">
        <v>616</v>
      </c>
      <c r="N5" s="21" t="s">
        <v>617</v>
      </c>
      <c r="O5" s="21" t="s">
        <v>616</v>
      </c>
      <c r="P5" s="21" t="s">
        <v>617</v>
      </c>
      <c r="Q5" s="21" t="s">
        <v>616</v>
      </c>
      <c r="R5" s="21" t="s">
        <v>617</v>
      </c>
      <c r="S5" s="21" t="s">
        <v>616</v>
      </c>
      <c r="T5" s="21" t="s">
        <v>617</v>
      </c>
      <c r="U5" s="21" t="s">
        <v>616</v>
      </c>
      <c r="V5" s="21" t="s">
        <v>617</v>
      </c>
      <c r="W5" s="21" t="s">
        <v>616</v>
      </c>
      <c r="X5" s="21" t="s">
        <v>617</v>
      </c>
      <c r="Y5" s="21" t="s">
        <v>616</v>
      </c>
      <c r="Z5" s="21" t="s">
        <v>617</v>
      </c>
      <c r="AA5" s="21" t="s">
        <v>616</v>
      </c>
      <c r="AB5" s="21" t="s">
        <v>617</v>
      </c>
    </row>
    <row r="6" spans="1:28" ht="16" customHeight="1">
      <c r="A6" s="21">
        <v>1</v>
      </c>
      <c r="B6" s="28">
        <f>_xlfn.XLOOKUP(A6,Event!A:A,Event!B:B," ")</f>
        <v>0</v>
      </c>
      <c r="C6" s="22">
        <f>_xlfn.XLOOKUP(A6,Event!A:A,Event!C:C," ")</f>
        <v>0</v>
      </c>
      <c r="D6" s="22">
        <f>_xlfn.XLOOKUP(A6,Event!A:A,Event!D:D," ")</f>
        <v>0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6" customHeight="1">
      <c r="A7" s="21">
        <v>2</v>
      </c>
      <c r="B7" s="28">
        <f>_xlfn.XLOOKUP(A7,Event!A:A,Event!B:B," ")</f>
        <v>0</v>
      </c>
      <c r="C7" s="22">
        <f>_xlfn.XLOOKUP(A7,Event!A:A,Event!C:C," ")</f>
        <v>0</v>
      </c>
      <c r="D7" s="22">
        <f>_xlfn.XLOOKUP(A7,Event!A:A,Event!D:D," ")</f>
        <v>0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6" customHeight="1">
      <c r="A8" s="21">
        <v>3</v>
      </c>
      <c r="B8" s="28">
        <f>_xlfn.XLOOKUP(A8,Event!A:A,Event!B:B," ")</f>
        <v>0</v>
      </c>
      <c r="C8" s="22">
        <f>_xlfn.XLOOKUP(A8,Event!A:A,Event!C:C," ")</f>
        <v>0</v>
      </c>
      <c r="D8" s="22">
        <f>_xlfn.XLOOKUP(A8,Event!A:A,Event!D:D," ")</f>
        <v>0</v>
      </c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6" customHeight="1">
      <c r="A9" s="21">
        <v>4</v>
      </c>
      <c r="B9" s="28">
        <f>_xlfn.XLOOKUP(A9,Event!A:A,Event!B:B," ")</f>
        <v>0</v>
      </c>
      <c r="C9" s="22">
        <f>_xlfn.XLOOKUP(A9,Event!A:A,Event!C:C," ")</f>
        <v>0</v>
      </c>
      <c r="D9" s="22">
        <f>_xlfn.XLOOKUP(A9,Event!A:A,Event!D:D," ")</f>
        <v>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6" customHeight="1">
      <c r="A10" s="21">
        <v>5</v>
      </c>
      <c r="B10" s="28">
        <f>_xlfn.XLOOKUP(A10,Event!A:A,Event!B:B," ")</f>
        <v>0</v>
      </c>
      <c r="C10" s="22">
        <f>_xlfn.XLOOKUP(A10,Event!A:A,Event!C:C," ")</f>
        <v>0</v>
      </c>
      <c r="D10" s="22">
        <f>_xlfn.XLOOKUP(A10,Event!A:A,Event!D:D," ")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6" customHeight="1">
      <c r="A11" s="21">
        <v>6</v>
      </c>
      <c r="B11" s="28">
        <f>_xlfn.XLOOKUP(A11,Event!A:A,Event!B:B," ")</f>
        <v>0</v>
      </c>
      <c r="C11" s="22">
        <f>_xlfn.XLOOKUP(A11,Event!A:A,Event!C:C," ")</f>
        <v>0</v>
      </c>
      <c r="D11" s="22">
        <f>_xlfn.XLOOKUP(A11,Event!A:A,Event!D:D," ")</f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6" customHeight="1">
      <c r="A12" s="21">
        <v>7</v>
      </c>
      <c r="B12" s="28">
        <f>_xlfn.XLOOKUP(A12,Event!A:A,Event!B:B," ")</f>
        <v>0</v>
      </c>
      <c r="C12" s="22">
        <f>_xlfn.XLOOKUP(A12,Event!A:A,Event!C:C," ")</f>
        <v>0</v>
      </c>
      <c r="D12" s="22">
        <f>_xlfn.XLOOKUP(A12,Event!A:A,Event!D:D," ")</f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6" customHeight="1">
      <c r="A13" s="21">
        <v>8</v>
      </c>
      <c r="B13" s="28">
        <f>_xlfn.XLOOKUP(A13,Event!A:A,Event!B:B," ")</f>
        <v>0</v>
      </c>
      <c r="C13" s="22">
        <f>_xlfn.XLOOKUP(A13,Event!A:A,Event!C:C," ")</f>
        <v>0</v>
      </c>
      <c r="D13" s="22">
        <f>_xlfn.XLOOKUP(A13,Event!A:A,Event!D:D," ")</f>
        <v>0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6" customHeight="1">
      <c r="A14" s="21">
        <v>9</v>
      </c>
      <c r="B14" s="28">
        <f>_xlfn.XLOOKUP(A14,Event!A:A,Event!B:B," ")</f>
        <v>0</v>
      </c>
      <c r="C14" s="22">
        <f>_xlfn.XLOOKUP(A14,Event!A:A,Event!C:C," ")</f>
        <v>0</v>
      </c>
      <c r="D14" s="22">
        <f>_xlfn.XLOOKUP(A14,Event!A:A,Event!D:D," ")</f>
        <v>0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6" customHeight="1">
      <c r="A15" s="21">
        <v>10</v>
      </c>
      <c r="B15" s="28">
        <f>_xlfn.XLOOKUP(A15,Event!A:A,Event!B:B," ")</f>
        <v>0</v>
      </c>
      <c r="C15" s="22">
        <f>_xlfn.XLOOKUP(A15,Event!A:A,Event!C:C," ")</f>
        <v>0</v>
      </c>
      <c r="D15" s="22">
        <f>_xlfn.XLOOKUP(A15,Event!A:A,Event!D:D," ")</f>
        <v>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16" customHeight="1">
      <c r="A16" s="21">
        <v>11</v>
      </c>
      <c r="B16" s="28">
        <f>_xlfn.XLOOKUP(A16,Event!A:A,Event!B:B," ")</f>
        <v>0</v>
      </c>
      <c r="C16" s="22">
        <f>_xlfn.XLOOKUP(A16,Event!A:A,Event!C:C," ")</f>
        <v>0</v>
      </c>
      <c r="D16" s="22">
        <f>_xlfn.XLOOKUP(A16,Event!A:A,Event!D:D," ")</f>
        <v>0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16" customHeight="1">
      <c r="A17" s="21">
        <v>12</v>
      </c>
      <c r="B17" s="28">
        <f>_xlfn.XLOOKUP(A17,Event!A:A,Event!B:B," ")</f>
        <v>0</v>
      </c>
      <c r="C17" s="22">
        <f>_xlfn.XLOOKUP(A17,Event!A:A,Event!C:C," ")</f>
        <v>0</v>
      </c>
      <c r="D17" s="22">
        <f>_xlfn.XLOOKUP(A17,Event!A:A,Event!D:D," ")</f>
        <v>0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6" customHeight="1">
      <c r="A18" s="21">
        <v>13</v>
      </c>
      <c r="B18" s="28">
        <f>_xlfn.XLOOKUP(A18,Event!A:A,Event!B:B," ")</f>
        <v>0</v>
      </c>
      <c r="C18" s="22">
        <f>_xlfn.XLOOKUP(A18,Event!A:A,Event!C:C," ")</f>
        <v>0</v>
      </c>
      <c r="D18" s="22">
        <f>_xlfn.XLOOKUP(A18,Event!A:A,Event!D:D," ")</f>
        <v>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6" customHeight="1">
      <c r="A19" s="21">
        <v>14</v>
      </c>
      <c r="B19" s="28">
        <f>_xlfn.XLOOKUP(A19,Event!A:A,Event!B:B," ")</f>
        <v>0</v>
      </c>
      <c r="C19" s="22">
        <f>_xlfn.XLOOKUP(A19,Event!A:A,Event!C:C," ")</f>
        <v>0</v>
      </c>
      <c r="D19" s="22">
        <f>_xlfn.XLOOKUP(A19,Event!A:A,Event!D:D," ")</f>
        <v>0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6" customHeight="1">
      <c r="A20" s="21">
        <v>15</v>
      </c>
      <c r="B20" s="28">
        <f>_xlfn.XLOOKUP(A20,Event!A:A,Event!B:B," ")</f>
        <v>0</v>
      </c>
      <c r="C20" s="22">
        <f>_xlfn.XLOOKUP(A20,Event!A:A,Event!C:C," ")</f>
        <v>0</v>
      </c>
      <c r="D20" s="22">
        <f>_xlfn.XLOOKUP(A20,Event!A:A,Event!D:D," ")</f>
        <v>0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6" customHeight="1">
      <c r="A21" s="21">
        <v>16</v>
      </c>
      <c r="B21" s="28">
        <f>_xlfn.XLOOKUP(A21,Event!A:A,Event!B:B," ")</f>
        <v>0</v>
      </c>
      <c r="C21" s="22">
        <f>_xlfn.XLOOKUP(A21,Event!A:A,Event!C:C," ")</f>
        <v>0</v>
      </c>
      <c r="D21" s="22">
        <f>_xlfn.XLOOKUP(A21,Event!A:A,Event!D:D," ")</f>
        <v>0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6" customHeight="1">
      <c r="A22" s="21">
        <v>17</v>
      </c>
      <c r="B22" s="28">
        <f>_xlfn.XLOOKUP(A22,Event!A:A,Event!B:B," ")</f>
        <v>0</v>
      </c>
      <c r="C22" s="22">
        <f>_xlfn.XLOOKUP(A22,Event!A:A,Event!C:C," ")</f>
        <v>0</v>
      </c>
      <c r="D22" s="22">
        <f>_xlfn.XLOOKUP(A22,Event!A:A,Event!D:D," ")</f>
        <v>0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6" customHeight="1">
      <c r="A23" s="21">
        <v>18</v>
      </c>
      <c r="B23" s="28">
        <f>_xlfn.XLOOKUP(A23,Event!A:A,Event!B:B," ")</f>
        <v>0</v>
      </c>
      <c r="C23" s="22">
        <f>_xlfn.XLOOKUP(A23,Event!A:A,Event!C:C," ")</f>
        <v>0</v>
      </c>
      <c r="D23" s="22">
        <f>_xlfn.XLOOKUP(A23,Event!A:A,Event!D:D," ")</f>
        <v>0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16" customHeight="1">
      <c r="A24" s="21">
        <v>19</v>
      </c>
      <c r="B24" s="28">
        <f>_xlfn.XLOOKUP(A24,Event!A:A,Event!B:B," ")</f>
        <v>0</v>
      </c>
      <c r="C24" s="22">
        <f>_xlfn.XLOOKUP(A24,Event!A:A,Event!C:C," ")</f>
        <v>0</v>
      </c>
      <c r="D24" s="22">
        <f>_xlfn.XLOOKUP(A24,Event!A:A,Event!D:D," ")</f>
        <v>0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6" customHeight="1">
      <c r="A25" s="21">
        <v>20</v>
      </c>
      <c r="B25" s="28">
        <f>_xlfn.XLOOKUP(A25,Event!A:A,Event!B:B," ")</f>
        <v>0</v>
      </c>
      <c r="C25" s="22">
        <f>_xlfn.XLOOKUP(A25,Event!A:A,Event!C:C," ")</f>
        <v>0</v>
      </c>
      <c r="D25" s="22">
        <f>_xlfn.XLOOKUP(A25,Event!A:A,Event!D:D," ")</f>
        <v>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6" customHeight="1">
      <c r="A26" s="21">
        <v>21</v>
      </c>
      <c r="B26" s="28">
        <f>_xlfn.XLOOKUP(A26,Event!A:A,Event!B:B," ")</f>
        <v>0</v>
      </c>
      <c r="C26" s="22">
        <f>_xlfn.XLOOKUP(A26,Event!A:A,Event!C:C," ")</f>
        <v>0</v>
      </c>
      <c r="D26" s="22">
        <f>_xlfn.XLOOKUP(A26,Event!A:A,Event!D:D," ")</f>
        <v>0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6" customHeight="1">
      <c r="A27" s="21">
        <v>22</v>
      </c>
      <c r="B27" s="28">
        <f>_xlfn.XLOOKUP(A27,Event!A:A,Event!B:B," ")</f>
        <v>0</v>
      </c>
      <c r="C27" s="22">
        <f>_xlfn.XLOOKUP(A27,Event!A:A,Event!C:C," ")</f>
        <v>0</v>
      </c>
      <c r="D27" s="22">
        <f>_xlfn.XLOOKUP(A27,Event!A:A,Event!D:D," ")</f>
        <v>0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6" customHeight="1">
      <c r="A28" s="21">
        <v>23</v>
      </c>
      <c r="B28" s="28">
        <f>_xlfn.XLOOKUP(A28,Event!A:A,Event!B:B," ")</f>
        <v>0</v>
      </c>
      <c r="C28" s="22">
        <f>_xlfn.XLOOKUP(A28,Event!A:A,Event!C:C," ")</f>
        <v>0</v>
      </c>
      <c r="D28" s="22">
        <f>_xlfn.XLOOKUP(A28,Event!A:A,Event!D:D," ")</f>
        <v>0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6" customHeight="1">
      <c r="A29" s="21">
        <v>24</v>
      </c>
      <c r="B29" s="28">
        <f>_xlfn.XLOOKUP(A29,Event!A:A,Event!B:B," ")</f>
        <v>0</v>
      </c>
      <c r="C29" s="22">
        <f>_xlfn.XLOOKUP(A29,Event!A:A,Event!C:C," ")</f>
        <v>0</v>
      </c>
      <c r="D29" s="22">
        <f>_xlfn.XLOOKUP(A29,Event!A:A,Event!D:D," ")</f>
        <v>0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6" customHeight="1">
      <c r="A30" s="21">
        <v>25</v>
      </c>
      <c r="B30" s="28">
        <f>_xlfn.XLOOKUP(A30,Event!A:A,Event!B:B," ")</f>
        <v>0</v>
      </c>
      <c r="C30" s="22">
        <f>_xlfn.XLOOKUP(A30,Event!A:A,Event!C:C," ")</f>
        <v>0</v>
      </c>
      <c r="D30" s="22">
        <f>_xlfn.XLOOKUP(A30,Event!A:A,Event!D:D," ")</f>
        <v>0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8">
      <c r="A31" s="19"/>
      <c r="B31" s="19"/>
      <c r="C31" s="19"/>
      <c r="D31" s="19"/>
      <c r="E31" s="23"/>
      <c r="F31" s="24"/>
      <c r="G31" s="23"/>
      <c r="H31" s="24"/>
      <c r="I31" s="23"/>
      <c r="J31" s="24"/>
      <c r="K31" s="23"/>
      <c r="L31" s="24"/>
      <c r="M31" s="23"/>
      <c r="N31" s="24"/>
      <c r="O31" s="23"/>
      <c r="P31" s="24"/>
      <c r="Q31" s="23"/>
      <c r="R31" s="24"/>
      <c r="S31" s="23"/>
      <c r="T31" s="24"/>
      <c r="U31" s="23"/>
      <c r="V31" s="24"/>
      <c r="W31" s="23"/>
      <c r="X31" s="24"/>
      <c r="Y31" s="23"/>
      <c r="Z31" s="24"/>
      <c r="AA31" s="23"/>
      <c r="AB31" s="24"/>
    </row>
    <row r="32" spans="1:28" ht="18">
      <c r="A32" s="19"/>
      <c r="B32" s="19"/>
      <c r="C32" s="19"/>
      <c r="D32" s="19"/>
      <c r="E32" s="25"/>
      <c r="F32" s="26"/>
      <c r="G32" s="25"/>
      <c r="H32" s="26"/>
      <c r="I32" s="25"/>
      <c r="J32" s="26"/>
      <c r="K32" s="25"/>
      <c r="L32" s="26"/>
      <c r="M32" s="25"/>
      <c r="N32" s="26"/>
      <c r="O32" s="25"/>
      <c r="P32" s="26"/>
      <c r="Q32" s="25"/>
      <c r="R32" s="26"/>
      <c r="S32" s="25"/>
      <c r="T32" s="26"/>
      <c r="U32" s="25"/>
      <c r="V32" s="26"/>
      <c r="W32" s="25"/>
      <c r="X32" s="26"/>
      <c r="Y32" s="25"/>
      <c r="Z32" s="26"/>
      <c r="AA32" s="25"/>
      <c r="AB32" s="26"/>
    </row>
    <row r="33" spans="1:28" ht="18">
      <c r="A33" s="19"/>
      <c r="B33" s="19"/>
      <c r="C33" s="19"/>
      <c r="D33" s="19"/>
      <c r="E33" s="25"/>
      <c r="F33" s="26"/>
      <c r="G33" s="25"/>
      <c r="H33" s="26"/>
      <c r="I33" s="25"/>
      <c r="J33" s="26"/>
      <c r="K33" s="25"/>
      <c r="L33" s="26"/>
      <c r="M33" s="25"/>
      <c r="N33" s="26"/>
      <c r="O33" s="25"/>
      <c r="P33" s="26"/>
      <c r="Q33" s="25"/>
      <c r="R33" s="26"/>
      <c r="S33" s="25"/>
      <c r="T33" s="26"/>
      <c r="U33" s="25"/>
      <c r="V33" s="26"/>
      <c r="W33" s="25"/>
      <c r="X33" s="26"/>
      <c r="Y33" s="25"/>
      <c r="Z33" s="26"/>
      <c r="AA33" s="25"/>
      <c r="AB33" s="26"/>
    </row>
    <row r="34" spans="1:28" ht="18">
      <c r="A34" s="19"/>
      <c r="B34" s="19"/>
      <c r="C34" s="19"/>
      <c r="D34" s="19"/>
      <c r="E34" s="37" t="s">
        <v>626</v>
      </c>
      <c r="F34" s="38"/>
      <c r="G34" s="37" t="s">
        <v>626</v>
      </c>
      <c r="H34" s="38"/>
      <c r="I34" s="37" t="s">
        <v>626</v>
      </c>
      <c r="J34" s="38"/>
      <c r="K34" s="37" t="s">
        <v>626</v>
      </c>
      <c r="L34" s="38"/>
      <c r="M34" s="37" t="s">
        <v>626</v>
      </c>
      <c r="N34" s="38"/>
      <c r="O34" s="37" t="s">
        <v>626</v>
      </c>
      <c r="P34" s="38"/>
      <c r="Q34" s="37" t="s">
        <v>626</v>
      </c>
      <c r="R34" s="38"/>
      <c r="S34" s="37" t="s">
        <v>626</v>
      </c>
      <c r="T34" s="38"/>
      <c r="U34" s="37" t="s">
        <v>626</v>
      </c>
      <c r="V34" s="38"/>
      <c r="W34" s="37" t="s">
        <v>626</v>
      </c>
      <c r="X34" s="38"/>
      <c r="Y34" s="37" t="s">
        <v>626</v>
      </c>
      <c r="Z34" s="38"/>
      <c r="AA34" s="37" t="s">
        <v>626</v>
      </c>
      <c r="AB34" s="38"/>
    </row>
    <row r="35" spans="1:28" ht="18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</row>
    <row r="36" spans="1:28" ht="18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</row>
    <row r="37" spans="1:28" ht="18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</row>
    <row r="38" spans="1:28" ht="18">
      <c r="A38" s="19"/>
      <c r="B38" s="19"/>
      <c r="C38" s="19"/>
      <c r="D38" s="19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 spans="1:28" ht="18">
      <c r="A39" s="19"/>
      <c r="B39" s="19"/>
      <c r="C39" s="19"/>
      <c r="D39" s="19"/>
      <c r="E39" s="35" t="s">
        <v>627</v>
      </c>
      <c r="F39" s="36"/>
      <c r="G39" s="35" t="s">
        <v>627</v>
      </c>
      <c r="H39" s="36"/>
      <c r="I39" s="35" t="s">
        <v>627</v>
      </c>
      <c r="J39" s="36"/>
      <c r="K39" s="35" t="s">
        <v>627</v>
      </c>
      <c r="L39" s="36"/>
      <c r="M39" s="35" t="s">
        <v>627</v>
      </c>
      <c r="N39" s="36"/>
      <c r="O39" s="35" t="s">
        <v>627</v>
      </c>
      <c r="P39" s="36"/>
      <c r="Q39" s="35" t="s">
        <v>627</v>
      </c>
      <c r="R39" s="36"/>
      <c r="S39" s="35" t="s">
        <v>627</v>
      </c>
      <c r="T39" s="36"/>
      <c r="U39" s="35" t="s">
        <v>627</v>
      </c>
      <c r="V39" s="36"/>
      <c r="W39" s="35" t="s">
        <v>627</v>
      </c>
      <c r="X39" s="36"/>
      <c r="Y39" s="35" t="s">
        <v>627</v>
      </c>
      <c r="Z39" s="36"/>
      <c r="AA39" s="35" t="s">
        <v>627</v>
      </c>
      <c r="AB39" s="36"/>
    </row>
    <row r="40" spans="1:28" ht="18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</row>
    <row r="41" spans="1:28" ht="18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</row>
    <row r="42" spans="1:28" ht="18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</row>
    <row r="43" spans="1:28" ht="18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</row>
    <row r="44" spans="1:28" ht="18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</row>
    <row r="45" spans="1:28" ht="18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</row>
    <row r="46" spans="1:28" ht="18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</row>
    <row r="47" spans="1:28" ht="18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</row>
    <row r="48" spans="1:28" ht="1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</row>
    <row r="49" spans="1:28" ht="18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</row>
    <row r="50" spans="1:28" ht="18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</row>
    <row r="51" spans="1:28" ht="18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</row>
    <row r="52" spans="1:28" ht="18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</row>
    <row r="53" spans="1:28" ht="18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</row>
    <row r="54" spans="1:28" ht="18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</row>
    <row r="55" spans="1:28" ht="18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</row>
    <row r="56" spans="1:28" ht="18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</row>
    <row r="57" spans="1:28" ht="18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</row>
    <row r="58" spans="1:28" ht="1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</row>
    <row r="59" spans="1:28" ht="18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</row>
    <row r="60" spans="1:28" ht="18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</row>
    <row r="61" spans="1:28" ht="18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</row>
    <row r="62" spans="1:28" ht="18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</row>
    <row r="63" spans="1:28" ht="18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</row>
    <row r="64" spans="1:28" ht="18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spans="1:28" ht="18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spans="1:28" ht="18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</row>
    <row r="67" spans="1:28" ht="18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</row>
    <row r="68" spans="1:28" ht="1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</row>
    <row r="69" spans="1:28" ht="18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</row>
    <row r="70" spans="1:28" ht="18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</row>
    <row r="71" spans="1:28" ht="18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</row>
    <row r="72" spans="1:28" ht="18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</row>
    <row r="73" spans="1:28" ht="18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</row>
    <row r="74" spans="1:28" ht="18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</row>
    <row r="75" spans="1:28" ht="18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</row>
    <row r="76" spans="1:28" ht="18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</row>
    <row r="77" spans="1:28" ht="18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</row>
    <row r="78" spans="1:28" ht="1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</row>
    <row r="79" spans="1:28" ht="18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</row>
    <row r="80" spans="1:28" ht="18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</row>
    <row r="81" spans="1:28" ht="18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</row>
    <row r="82" spans="1:28" ht="18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</row>
    <row r="83" spans="1:28" ht="18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</row>
    <row r="84" spans="1:28" ht="18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</row>
    <row r="85" spans="1:28" ht="18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</row>
    <row r="86" spans="1:28" ht="18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</row>
    <row r="87" spans="1:28" ht="18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</row>
    <row r="88" spans="1:28" ht="1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</row>
    <row r="89" spans="1:28" ht="18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</row>
    <row r="90" spans="1:28" ht="18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</row>
    <row r="91" spans="1:28" ht="18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</row>
    <row r="92" spans="1:28" ht="18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</row>
    <row r="93" spans="1:28" ht="18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</row>
    <row r="94" spans="1:28" ht="18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</row>
    <row r="95" spans="1:28" ht="18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</row>
    <row r="96" spans="1:28" ht="18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</row>
    <row r="97" spans="1:28" ht="18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</row>
    <row r="98" spans="1:28" ht="1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</row>
    <row r="99" spans="1:28" ht="18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</row>
    <row r="100" spans="1:28" ht="18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</row>
    <row r="101" spans="1:28" ht="18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</row>
    <row r="102" spans="1:28" ht="18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</row>
    <row r="103" spans="1:28" ht="18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</row>
    <row r="104" spans="1:28" ht="18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</row>
    <row r="105" spans="1:28" ht="18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</row>
    <row r="106" spans="1:28" ht="18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</row>
    <row r="107" spans="1:28" ht="18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</row>
    <row r="108" spans="1:28" ht="1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</row>
    <row r="109" spans="1:28" ht="18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</row>
    <row r="110" spans="1:28" ht="18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</row>
    <row r="111" spans="1:28" ht="18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</row>
    <row r="112" spans="1:28" ht="18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spans="1:28" ht="18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spans="1:28" ht="18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spans="1:28" ht="18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spans="1:28" ht="18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</row>
    <row r="117" spans="1:28" ht="18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spans="1:28" ht="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spans="1:28" ht="18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spans="1:28" ht="18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spans="1:28" ht="18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spans="1:28" ht="18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spans="1:28" ht="18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</row>
    <row r="124" spans="1:28" ht="18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</row>
    <row r="125" spans="1:28" ht="18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</row>
    <row r="126" spans="1:28" ht="18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</row>
    <row r="127" spans="1:28" ht="18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</row>
    <row r="128" spans="1:28" ht="1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</row>
    <row r="129" spans="1:28" ht="18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</row>
    <row r="130" spans="1:28" ht="18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</row>
    <row r="131" spans="1:28" ht="18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</row>
    <row r="132" spans="1:28" ht="18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</row>
    <row r="133" spans="1:28" ht="18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</row>
    <row r="134" spans="1:28" ht="18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</row>
    <row r="135" spans="1:28" ht="18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</row>
    <row r="136" spans="1:28" ht="18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</row>
    <row r="137" spans="1:28" ht="18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</row>
    <row r="138" spans="1:28" ht="1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</row>
    <row r="139" spans="1:28" ht="18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</row>
    <row r="140" spans="1:28" ht="18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</row>
    <row r="141" spans="1:28" ht="18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</row>
    <row r="142" spans="1:28" ht="18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</row>
    <row r="143" spans="1:28" ht="18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</row>
    <row r="144" spans="1:28" ht="18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</row>
    <row r="145" spans="1:28" ht="18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</row>
    <row r="146" spans="1:28" ht="18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</row>
    <row r="147" spans="1:28" ht="18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</row>
    <row r="148" spans="1:28" ht="1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</row>
    <row r="149" spans="1:28" ht="18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</row>
    <row r="150" spans="1:28" ht="18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</row>
    <row r="151" spans="1:28" ht="18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</row>
    <row r="152" spans="1:28" ht="18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</row>
    <row r="153" spans="1:28" ht="18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</row>
    <row r="154" spans="1:28" ht="18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</row>
    <row r="155" spans="1:28" ht="18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</row>
    <row r="156" spans="1:28" ht="18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</row>
    <row r="157" spans="1:28" ht="18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</row>
    <row r="158" spans="1:28" ht="1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</row>
    <row r="159" spans="1:28" ht="18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</row>
    <row r="160" spans="1:28" ht="18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</row>
    <row r="161" spans="1:28" ht="18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</row>
    <row r="162" spans="1:28" ht="18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</row>
    <row r="163" spans="1:28" ht="18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</row>
    <row r="164" spans="1:28" ht="18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</row>
    <row r="165" spans="1:28" ht="18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</row>
    <row r="166" spans="1:28" ht="18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</row>
    <row r="167" spans="1:28" ht="18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</row>
    <row r="168" spans="1:28" ht="1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</row>
    <row r="169" spans="1:28" ht="18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</row>
    <row r="170" spans="1:28" ht="18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</row>
    <row r="171" spans="1:28" ht="18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</row>
    <row r="172" spans="1:28" ht="18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</row>
    <row r="173" spans="1:28" ht="18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</row>
    <row r="174" spans="1:28" ht="18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</row>
    <row r="175" spans="1:28" ht="18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</row>
    <row r="176" spans="1:28" ht="18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</row>
    <row r="177" spans="1:28" ht="18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</row>
    <row r="178" spans="1:28" ht="1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</row>
    <row r="179" spans="1:28" ht="18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</row>
    <row r="180" spans="1:28" ht="18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</row>
    <row r="181" spans="1:28" ht="18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</row>
    <row r="182" spans="1:28" ht="18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</row>
    <row r="183" spans="1:28" ht="18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</row>
    <row r="184" spans="1:28" ht="18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</row>
    <row r="185" spans="1:28" ht="18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</row>
    <row r="186" spans="1:28" ht="18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</row>
    <row r="187" spans="1:28" ht="18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</row>
    <row r="188" spans="1:28" ht="1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</row>
    <row r="189" spans="1:28" ht="18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</row>
    <row r="190" spans="1:28" ht="18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</row>
    <row r="191" spans="1:28" ht="18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</row>
    <row r="192" spans="1:28" ht="18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</row>
    <row r="193" spans="1:28" ht="18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</row>
    <row r="194" spans="1:28" ht="18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</row>
    <row r="195" spans="1:28" ht="18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</row>
    <row r="196" spans="1:28" ht="18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</row>
    <row r="197" spans="1:28" ht="18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</row>
    <row r="198" spans="1:28" ht="1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</row>
    <row r="199" spans="1:28" ht="18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</row>
    <row r="200" spans="1:28" ht="18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</row>
    <row r="201" spans="1:28" ht="18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</row>
    <row r="202" spans="1:28" ht="18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</row>
    <row r="203" spans="1:28" ht="18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</row>
    <row r="204" spans="1:28" ht="18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</row>
    <row r="205" spans="1:28" ht="18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</row>
    <row r="206" spans="1:28" ht="18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</row>
    <row r="207" spans="1:28" ht="18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</row>
    <row r="208" spans="1:28" ht="1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</row>
    <row r="209" spans="1:28" ht="18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</row>
    <row r="210" spans="1:28" ht="18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</row>
    <row r="211" spans="1:28" ht="18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</row>
    <row r="212" spans="1:28" ht="18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</row>
    <row r="213" spans="1:28" ht="18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</row>
    <row r="214" spans="1:28" ht="18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</row>
    <row r="215" spans="1:28" ht="18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</row>
    <row r="216" spans="1:28" ht="18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</row>
    <row r="217" spans="1:28" ht="18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</row>
    <row r="218" spans="1:28" ht="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</row>
    <row r="219" spans="1:28" ht="18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</row>
    <row r="220" spans="1:28" ht="18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</row>
    <row r="221" spans="1:28" ht="18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</row>
    <row r="222" spans="1:28" ht="18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</row>
    <row r="223" spans="1:28" ht="18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</row>
    <row r="224" spans="1:28" ht="18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</row>
    <row r="225" spans="1:28" ht="18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</row>
    <row r="226" spans="1:28" ht="18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</row>
    <row r="227" spans="1:28" ht="18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</row>
    <row r="228" spans="1:28" ht="1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</row>
    <row r="229" spans="1:28" ht="18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</row>
    <row r="230" spans="1:28" ht="18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</row>
    <row r="231" spans="1:28" ht="18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</row>
    <row r="232" spans="1:28" ht="18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</row>
    <row r="233" spans="1:28" ht="18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</row>
    <row r="234" spans="1:28" ht="18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</row>
    <row r="235" spans="1:28" ht="18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</row>
    <row r="236" spans="1:28" ht="18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</row>
    <row r="237" spans="1:28" ht="18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</row>
    <row r="238" spans="1:28" ht="1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</row>
    <row r="239" spans="1:28" ht="18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</row>
    <row r="240" spans="1:28" ht="18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</row>
    <row r="241" spans="1:28" ht="18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</row>
    <row r="242" spans="1:28" ht="18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</row>
    <row r="243" spans="1:28" ht="18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</row>
    <row r="244" spans="1:28" ht="18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</row>
    <row r="245" spans="1:28" ht="18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</row>
    <row r="246" spans="1:28" ht="18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</row>
    <row r="247" spans="1:28" ht="18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</row>
    <row r="248" spans="1:28" ht="1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</row>
    <row r="249" spans="1:28" ht="18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</row>
    <row r="250" spans="1:28" ht="18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</row>
    <row r="251" spans="1:28" ht="18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</row>
    <row r="252" spans="1:28" ht="18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</row>
    <row r="253" spans="1:28" ht="18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</row>
    <row r="254" spans="1:28" ht="18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</row>
    <row r="255" spans="1:28" ht="18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</row>
    <row r="256" spans="1:28" ht="18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</row>
    <row r="257" spans="1:28" ht="18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</row>
    <row r="258" spans="1:28" ht="1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</row>
    <row r="259" spans="1:28" ht="18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</row>
    <row r="260" spans="1:28" ht="18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</row>
    <row r="261" spans="1:28" ht="18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</row>
    <row r="262" spans="1:28" ht="18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</row>
    <row r="263" spans="1:28" ht="18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</row>
    <row r="264" spans="1:28" ht="18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</row>
    <row r="265" spans="1:28" ht="18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</row>
    <row r="266" spans="1:28" ht="18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</row>
    <row r="267" spans="1:28" ht="18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</row>
    <row r="268" spans="1:28" ht="1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</row>
    <row r="269" spans="1:28" ht="18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</row>
    <row r="270" spans="1:28" ht="18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</row>
    <row r="271" spans="1:28" ht="18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</row>
    <row r="272" spans="1:28" ht="18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</row>
    <row r="273" spans="1:28" ht="18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</row>
    <row r="274" spans="1:28" ht="18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</row>
    <row r="275" spans="1:28" ht="18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</row>
    <row r="276" spans="1:28" ht="18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</row>
    <row r="277" spans="1:28" ht="18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</row>
    <row r="278" spans="1:28" ht="1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</row>
    <row r="279" spans="1:28" ht="18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</row>
    <row r="280" spans="1:28" ht="18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</row>
    <row r="281" spans="1:28" ht="18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</row>
    <row r="282" spans="1:28" ht="18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</row>
    <row r="283" spans="1:28" ht="18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</row>
    <row r="284" spans="1:28" ht="18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</row>
    <row r="285" spans="1:28" ht="18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</row>
    <row r="286" spans="1:28" ht="18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</row>
    <row r="287" spans="1:28" ht="18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</row>
    <row r="288" spans="1:28" ht="1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</row>
    <row r="289" spans="1:28" ht="18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</row>
    <row r="290" spans="1:28" ht="18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</row>
    <row r="291" spans="1:28" ht="18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</row>
    <row r="292" spans="1:28" ht="18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</row>
    <row r="293" spans="1:28" ht="18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</row>
    <row r="294" spans="1:28" ht="18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</row>
    <row r="295" spans="1:28" ht="18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</row>
    <row r="296" spans="1:28" ht="18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</row>
    <row r="297" spans="1:28" ht="18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</row>
    <row r="298" spans="1:28" ht="1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</row>
    <row r="299" spans="1:28" ht="18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</row>
    <row r="300" spans="1:28" ht="18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</row>
    <row r="301" spans="1:28" ht="18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</row>
    <row r="302" spans="1:28" ht="18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</row>
    <row r="303" spans="1:28" ht="18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</row>
    <row r="304" spans="1:28" ht="18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</row>
    <row r="305" spans="1:28" ht="18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</row>
    <row r="306" spans="1:28" ht="18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</row>
    <row r="307" spans="1:28" ht="18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</row>
    <row r="308" spans="1:28" ht="1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</row>
    <row r="309" spans="1:28" ht="18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</row>
    <row r="310" spans="1:28" ht="18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</row>
    <row r="311" spans="1:28" ht="18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</row>
    <row r="312" spans="1:28" ht="18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</row>
    <row r="313" spans="1:28" ht="18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</row>
    <row r="314" spans="1:28" ht="18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</row>
    <row r="315" spans="1:28" ht="18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</row>
    <row r="316" spans="1:28" ht="18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</row>
    <row r="317" spans="1:28" ht="18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</row>
    <row r="318" spans="1:28" ht="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</row>
    <row r="319" spans="1:28" ht="18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</row>
    <row r="320" spans="1:28" ht="18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</row>
    <row r="321" spans="1:28" ht="18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</row>
    <row r="322" spans="1:28" ht="18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</row>
    <row r="323" spans="1:28" ht="18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</row>
    <row r="324" spans="1:28" ht="18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</row>
    <row r="325" spans="1:28" ht="18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</row>
    <row r="326" spans="1:28" ht="18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</row>
    <row r="327" spans="1:28" ht="18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</row>
    <row r="328" spans="1:28" ht="1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</row>
    <row r="329" spans="1:28" ht="18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</row>
    <row r="330" spans="1:28" ht="18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</row>
    <row r="331" spans="1:28" ht="18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</row>
    <row r="332" spans="1:28" ht="18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</row>
    <row r="333" spans="1:28" ht="18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</row>
    <row r="334" spans="1:28" ht="18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</row>
    <row r="335" spans="1:28" ht="18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</row>
    <row r="336" spans="1:28" ht="18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</row>
    <row r="337" spans="1:28" ht="18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</row>
    <row r="338" spans="1:28" ht="1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</row>
    <row r="339" spans="1:28" ht="18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</row>
    <row r="340" spans="1:28" ht="18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</row>
    <row r="341" spans="1:28" ht="18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</row>
    <row r="342" spans="1:28" ht="18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</row>
    <row r="343" spans="1:28" ht="18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</row>
    <row r="344" spans="1:28" ht="18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</row>
    <row r="345" spans="1:28" ht="18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</row>
    <row r="346" spans="1:28" ht="18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</row>
    <row r="347" spans="1:28" ht="18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</row>
    <row r="348" spans="1:28" ht="1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</row>
    <row r="349" spans="1:28" ht="18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</row>
    <row r="350" spans="1:28" ht="18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</row>
    <row r="351" spans="1:28" ht="18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</row>
    <row r="352" spans="1:28" ht="18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</row>
    <row r="353" spans="1:28" ht="18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</row>
    <row r="354" spans="1:28" ht="18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</row>
    <row r="355" spans="1:28" ht="18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</row>
    <row r="356" spans="1:28" ht="18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</row>
    <row r="357" spans="1:28" ht="18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</row>
    <row r="358" spans="1:28" ht="1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</row>
    <row r="359" spans="1:28" ht="18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</row>
    <row r="360" spans="1:28" ht="18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</row>
    <row r="361" spans="1:28" ht="18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</row>
    <row r="362" spans="1:28" ht="18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</row>
    <row r="363" spans="1:28" ht="18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</row>
    <row r="364" spans="1:28" ht="18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</row>
    <row r="365" spans="1:28" ht="18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</row>
    <row r="366" spans="1:28" ht="18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</row>
    <row r="367" spans="1:28" ht="18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</row>
    <row r="368" spans="1:28" ht="1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</row>
    <row r="369" spans="1:28" ht="18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</row>
    <row r="370" spans="1:28" ht="18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</row>
    <row r="371" spans="1:28" ht="18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</row>
    <row r="372" spans="1:28" ht="18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</row>
    <row r="373" spans="1:28" ht="18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</row>
    <row r="374" spans="1:28" ht="18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</row>
    <row r="375" spans="1:28" ht="18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</row>
    <row r="376" spans="1:28" ht="18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</row>
    <row r="377" spans="1:28" ht="18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</row>
    <row r="378" spans="1:28" ht="1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</row>
    <row r="379" spans="1:28" ht="18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</row>
    <row r="380" spans="1:28" ht="18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</row>
    <row r="381" spans="1:28" ht="18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</row>
    <row r="382" spans="1:28" ht="18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</row>
    <row r="383" spans="1:28" ht="18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</row>
    <row r="384" spans="1:28" ht="18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</row>
    <row r="385" spans="1:28" ht="18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</row>
    <row r="386" spans="1:28" ht="18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</row>
    <row r="387" spans="1:28" ht="18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</row>
    <row r="388" spans="1:28" ht="1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</row>
    <row r="389" spans="1:28" ht="18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</row>
    <row r="390" spans="1:28" ht="18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</row>
    <row r="391" spans="1:28" ht="18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</row>
    <row r="392" spans="1:28" ht="18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</row>
    <row r="393" spans="1:28" ht="18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</row>
    <row r="394" spans="1:28" ht="18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</row>
    <row r="395" spans="1:28" ht="18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</row>
    <row r="396" spans="1:28" ht="18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</row>
    <row r="397" spans="1:28" ht="18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</row>
    <row r="398" spans="1:28" ht="1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</row>
    <row r="399" spans="1:28" ht="18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</row>
    <row r="400" spans="1:28" ht="18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</row>
    <row r="401" spans="1:28" ht="18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</row>
    <row r="402" spans="1:28" ht="18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</row>
    <row r="403" spans="1:28" ht="18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</row>
    <row r="404" spans="1:28" ht="18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</row>
    <row r="405" spans="1:28" ht="18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</row>
    <row r="406" spans="1:28" ht="18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</row>
    <row r="407" spans="1:28" ht="18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</row>
    <row r="408" spans="1:28" ht="1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</row>
    <row r="409" spans="1:28" ht="18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</row>
    <row r="410" spans="1:28" ht="18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</row>
    <row r="411" spans="1:28" ht="18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</row>
    <row r="412" spans="1:28" ht="18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</row>
    <row r="413" spans="1:28" ht="18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</row>
    <row r="414" spans="1:28" ht="18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</row>
    <row r="415" spans="1:28" ht="18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</row>
    <row r="416" spans="1:28" ht="18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</row>
    <row r="417" spans="1:28" ht="18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</row>
    <row r="418" spans="1:28" ht="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</row>
    <row r="419" spans="1:28" ht="18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</row>
    <row r="420" spans="1:28" ht="18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</row>
    <row r="421" spans="1:28" ht="18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</row>
    <row r="422" spans="1:28" ht="18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</row>
    <row r="423" spans="1:28" ht="18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</row>
    <row r="424" spans="1:28" ht="18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</row>
    <row r="425" spans="1:28" ht="18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</row>
    <row r="426" spans="1:28" ht="18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</row>
    <row r="427" spans="1:28" ht="18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</row>
    <row r="428" spans="1:28" ht="1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</row>
    <row r="429" spans="1:28" ht="18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</row>
    <row r="430" spans="1:28" ht="18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</row>
    <row r="431" spans="1:28" ht="18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</row>
    <row r="432" spans="1:28" ht="18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</row>
    <row r="433" spans="1:28" ht="18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</row>
    <row r="434" spans="1:28" ht="18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</row>
    <row r="435" spans="1:28" ht="18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</row>
    <row r="436" spans="1:28" ht="18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</row>
    <row r="437" spans="1:28" ht="18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</row>
    <row r="438" spans="1:28" ht="1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</row>
    <row r="439" spans="1:28" ht="18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</row>
    <row r="440" spans="1:28" ht="18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</row>
    <row r="441" spans="1:28" ht="18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</row>
    <row r="442" spans="1:28" ht="18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</row>
    <row r="443" spans="1:28" ht="18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</row>
    <row r="444" spans="1:28" ht="18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</row>
    <row r="445" spans="1:28" ht="18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</row>
    <row r="446" spans="1:28" ht="18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</row>
    <row r="447" spans="1:28" ht="18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</row>
    <row r="448" spans="1:28" ht="1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</row>
    <row r="449" spans="1:28" ht="18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</row>
    <row r="450" spans="1:28" ht="18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</row>
    <row r="451" spans="1:28" ht="18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</row>
    <row r="452" spans="1:28" ht="18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</row>
    <row r="453" spans="1:28" ht="18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</row>
    <row r="454" spans="1:28" ht="18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</row>
    <row r="455" spans="1:28" ht="18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</row>
    <row r="456" spans="1:28" ht="18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</row>
    <row r="457" spans="1:28" ht="18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</row>
    <row r="458" spans="1:28" ht="1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</row>
    <row r="459" spans="1:28" ht="18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</row>
    <row r="460" spans="1:28" ht="18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</row>
    <row r="461" spans="1:28" ht="18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</row>
    <row r="462" spans="1:28" ht="18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</row>
    <row r="463" spans="1:28" ht="18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</row>
    <row r="464" spans="1:28" ht="18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</row>
    <row r="465" spans="1:28" ht="18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</row>
    <row r="466" spans="1:28" ht="18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</row>
    <row r="467" spans="1:28" ht="18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</row>
    <row r="468" spans="1:28" ht="1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</row>
    <row r="469" spans="1:28" ht="18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</row>
    <row r="470" spans="1:28" ht="18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</row>
    <row r="471" spans="1:28" ht="18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</row>
    <row r="472" spans="1:28" ht="18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</row>
    <row r="473" spans="1:28" ht="18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</row>
    <row r="474" spans="1:28" ht="18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</row>
    <row r="475" spans="1:28" ht="18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</row>
    <row r="476" spans="1:28" ht="18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</row>
    <row r="477" spans="1:28" ht="18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</row>
    <row r="478" spans="1:28" ht="1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</row>
    <row r="479" spans="1:28" ht="18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</row>
    <row r="480" spans="1:28" ht="18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</row>
    <row r="481" spans="1:28" ht="18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</row>
    <row r="482" spans="1:28" ht="18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</row>
    <row r="483" spans="1:28" ht="18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</row>
    <row r="484" spans="1:28" ht="18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</row>
    <row r="485" spans="1:28" ht="18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</row>
    <row r="486" spans="1:28" ht="18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</row>
    <row r="487" spans="1:28" ht="18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</row>
    <row r="488" spans="1:28" ht="1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</row>
    <row r="489" spans="1:28" ht="18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</row>
    <row r="490" spans="1:28" ht="18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</row>
    <row r="491" spans="1:28" ht="18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</row>
    <row r="492" spans="1:28" ht="18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</row>
    <row r="493" spans="1:28" ht="18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</row>
    <row r="494" spans="1:28" ht="18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</row>
    <row r="495" spans="1:28" ht="18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</row>
    <row r="496" spans="1:28" ht="18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</row>
    <row r="497" spans="1:28" ht="18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</row>
    <row r="498" spans="1:28" ht="1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</row>
    <row r="499" spans="1:28" ht="18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</row>
    <row r="500" spans="1:28" ht="18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</row>
    <row r="501" spans="1:28" ht="18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</row>
    <row r="502" spans="1:28" ht="18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</row>
    <row r="503" spans="1:28" ht="18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</row>
    <row r="504" spans="1:28" ht="18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</row>
    <row r="505" spans="1:28" ht="18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</row>
    <row r="506" spans="1:28" ht="18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</row>
    <row r="507" spans="1:28" ht="18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</row>
    <row r="508" spans="1:28" ht="1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</row>
    <row r="509" spans="1:28" ht="18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</row>
    <row r="510" spans="1:28" ht="18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</row>
    <row r="511" spans="1:28" ht="18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</row>
    <row r="512" spans="1:28" ht="18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</row>
    <row r="513" spans="1:28" ht="18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</row>
    <row r="514" spans="1:28" ht="18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</row>
    <row r="515" spans="1:28" ht="18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</row>
    <row r="516" spans="1:28" ht="18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</row>
    <row r="517" spans="1:28" ht="18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</row>
    <row r="518" spans="1:28" ht="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</row>
    <row r="519" spans="1:28" ht="18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</row>
    <row r="520" spans="1:28" ht="18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</row>
    <row r="521" spans="1:28" ht="18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</row>
    <row r="522" spans="1:28" ht="18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</row>
    <row r="523" spans="1:28" ht="18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</row>
    <row r="524" spans="1:28" ht="18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</row>
    <row r="525" spans="1:28" ht="18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</row>
    <row r="526" spans="1:28" ht="18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</row>
    <row r="527" spans="1:28" ht="18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</row>
    <row r="528" spans="1:28" ht="1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</row>
    <row r="529" spans="1:28" ht="18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</row>
    <row r="530" spans="1:28" ht="18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</row>
    <row r="531" spans="1:28" ht="18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</row>
    <row r="532" spans="1:28" ht="18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</row>
    <row r="533" spans="1:28" ht="18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</row>
    <row r="534" spans="1:28" ht="18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</row>
    <row r="535" spans="1:28" ht="18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</row>
    <row r="536" spans="1:28" ht="18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</row>
    <row r="537" spans="1:28" ht="18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</row>
    <row r="538" spans="1:28" ht="1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</row>
    <row r="539" spans="1:28" ht="18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</row>
    <row r="540" spans="1:28" ht="18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</row>
    <row r="541" spans="1:28" ht="18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</row>
    <row r="542" spans="1:28" ht="18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</row>
    <row r="543" spans="1:28" ht="18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</row>
    <row r="544" spans="1:28" ht="18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</row>
    <row r="545" spans="1:28" ht="18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</row>
    <row r="546" spans="1:28" ht="18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</row>
    <row r="547" spans="1:28" ht="18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</row>
    <row r="548" spans="1:28" ht="1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</row>
    <row r="549" spans="1:28" ht="18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</row>
    <row r="550" spans="1:28" ht="18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</row>
    <row r="551" spans="1:28" ht="18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</row>
    <row r="552" spans="1:28" ht="18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</row>
    <row r="553" spans="1:28" ht="18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</row>
    <row r="554" spans="1:28" ht="18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</row>
    <row r="555" spans="1:28" ht="18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</row>
    <row r="556" spans="1:28" ht="18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</row>
    <row r="557" spans="1:28" ht="18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</row>
    <row r="558" spans="1:28" ht="1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</row>
    <row r="559" spans="1:28" ht="18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</row>
    <row r="560" spans="1:28" ht="18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</row>
    <row r="561" spans="1:28" ht="18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</row>
    <row r="562" spans="1:28" ht="18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</row>
    <row r="563" spans="1:28" ht="18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</row>
    <row r="564" spans="1:28" ht="18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</row>
    <row r="565" spans="1:28" ht="18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</row>
    <row r="566" spans="1:28" ht="18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</row>
    <row r="567" spans="1:28" ht="18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</row>
    <row r="568" spans="1:28" ht="1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</row>
    <row r="569" spans="1:28" ht="18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</row>
    <row r="570" spans="1:28" ht="18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</row>
    <row r="571" spans="1:28" ht="18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</row>
    <row r="572" spans="1:28" ht="18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</row>
    <row r="573" spans="1:28" ht="18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</row>
    <row r="574" spans="1:28" ht="18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</row>
    <row r="575" spans="1:28" ht="18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</row>
    <row r="576" spans="1:28" ht="18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</row>
    <row r="577" spans="1:28" ht="18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</row>
    <row r="578" spans="1:28" ht="1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</row>
    <row r="579" spans="1:28" ht="18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</row>
    <row r="580" spans="1:28" ht="18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</row>
    <row r="581" spans="1:28" ht="18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</row>
    <row r="582" spans="1:28" ht="18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</row>
    <row r="583" spans="1:28" ht="18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</row>
    <row r="584" spans="1:28" ht="18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</row>
    <row r="585" spans="1:28" ht="18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</row>
    <row r="586" spans="1:28" ht="18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</row>
    <row r="587" spans="1:28" ht="18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</row>
    <row r="588" spans="1:28" ht="1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</row>
    <row r="589" spans="1:28" ht="18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</row>
    <row r="590" spans="1:28" ht="18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</row>
    <row r="591" spans="1:28" ht="18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</row>
    <row r="592" spans="1:28" ht="18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</row>
    <row r="593" spans="1:28" ht="18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</row>
    <row r="594" spans="1:28" ht="18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</row>
    <row r="595" spans="1:28" ht="18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</row>
    <row r="596" spans="1:28" ht="18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</row>
    <row r="597" spans="1:28" ht="18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</row>
    <row r="598" spans="1:28" ht="1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</row>
    <row r="599" spans="1:28" ht="18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</row>
    <row r="600" spans="1:28" ht="18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</row>
    <row r="601" spans="1:28" ht="18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</row>
    <row r="602" spans="1:28" ht="18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</row>
    <row r="603" spans="1:28" ht="18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</row>
    <row r="604" spans="1:28" ht="18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</row>
    <row r="605" spans="1:28" ht="18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</row>
    <row r="606" spans="1:28" ht="18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</row>
    <row r="607" spans="1:28" ht="18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</row>
    <row r="608" spans="1:28" ht="1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</row>
    <row r="609" spans="1:28" ht="18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</row>
    <row r="610" spans="1:28" ht="18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</row>
    <row r="611" spans="1:28" ht="18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</row>
    <row r="612" spans="1:28" ht="18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</row>
    <row r="613" spans="1:28" ht="18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</row>
    <row r="614" spans="1:28" ht="18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</row>
    <row r="615" spans="1:28" ht="18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</row>
    <row r="616" spans="1:28" ht="18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</row>
    <row r="617" spans="1:28" ht="18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</row>
    <row r="618" spans="1:28" ht="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</row>
    <row r="619" spans="1:28" ht="18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</row>
    <row r="620" spans="1:28" ht="18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</row>
    <row r="621" spans="1:28" ht="18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</row>
    <row r="622" spans="1:28" ht="18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</row>
    <row r="623" spans="1:28" ht="18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</row>
    <row r="624" spans="1:28" ht="18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</row>
    <row r="625" spans="1:28" ht="18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</row>
    <row r="626" spans="1:28" ht="18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</row>
    <row r="627" spans="1:28" ht="18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</row>
    <row r="628" spans="1:28" ht="1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</row>
    <row r="629" spans="1:28" ht="18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</row>
    <row r="630" spans="1:28" ht="18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</row>
    <row r="631" spans="1:28" ht="18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</row>
    <row r="632" spans="1:28" ht="18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</row>
    <row r="633" spans="1:28" ht="18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</row>
    <row r="634" spans="1:28" ht="18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</row>
    <row r="635" spans="1:28" ht="18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</row>
    <row r="636" spans="1:28" ht="18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</row>
    <row r="637" spans="1:28" ht="18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</row>
    <row r="638" spans="1:28" ht="1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</row>
    <row r="639" spans="1:28" ht="18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</row>
    <row r="640" spans="1:28" ht="18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</row>
    <row r="641" spans="1:28" ht="18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</row>
    <row r="642" spans="1:28" ht="18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</row>
    <row r="643" spans="1:28" ht="18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</row>
    <row r="644" spans="1:28" ht="18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</row>
    <row r="645" spans="1:28" ht="18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</row>
    <row r="646" spans="1:28" ht="18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</row>
    <row r="647" spans="1:28" ht="18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</row>
    <row r="648" spans="1:28" ht="1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</row>
    <row r="649" spans="1:28" ht="18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</row>
    <row r="650" spans="1:28" ht="18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</row>
    <row r="651" spans="1:28" ht="18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</row>
    <row r="652" spans="1:28" ht="18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</row>
    <row r="653" spans="1:28" ht="18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</row>
    <row r="654" spans="1:28" ht="18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</row>
    <row r="655" spans="1:28" ht="18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</row>
    <row r="656" spans="1:28" ht="18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</row>
    <row r="657" spans="1:28" ht="18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</row>
    <row r="658" spans="1:28" ht="1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</row>
    <row r="659" spans="1:28" ht="18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</row>
    <row r="660" spans="1:28" ht="18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</row>
    <row r="661" spans="1:28" ht="18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</row>
    <row r="662" spans="1:28" ht="18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</row>
    <row r="663" spans="1:28" ht="18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</row>
    <row r="664" spans="1:28" ht="18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</row>
    <row r="665" spans="1:28" ht="18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</row>
    <row r="666" spans="1:28" ht="18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</row>
    <row r="667" spans="1:28" ht="18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</row>
    <row r="668" spans="1:28" ht="1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</row>
    <row r="669" spans="1:28" ht="18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</row>
    <row r="670" spans="1:28" ht="18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</row>
    <row r="671" spans="1:28" ht="18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</row>
    <row r="672" spans="1:28" ht="18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</row>
    <row r="673" spans="1:28" ht="18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</row>
    <row r="674" spans="1:28" ht="18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</row>
    <row r="675" spans="1:28" ht="18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</row>
    <row r="676" spans="1:28" ht="18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</row>
    <row r="677" spans="1:28" ht="18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</row>
    <row r="678" spans="1:28" ht="1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</row>
    <row r="679" spans="1:28" ht="18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</row>
    <row r="680" spans="1:28" ht="18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</row>
    <row r="681" spans="1:28" ht="18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</row>
    <row r="682" spans="1:28" ht="18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</row>
    <row r="683" spans="1:28" ht="18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</row>
    <row r="684" spans="1:28" ht="18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</row>
    <row r="685" spans="1:28" ht="18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</row>
    <row r="686" spans="1:28" ht="18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</row>
    <row r="687" spans="1:28" ht="18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</row>
    <row r="688" spans="1:28" ht="1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</row>
    <row r="689" spans="1:28" ht="18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</row>
    <row r="690" spans="1:28" ht="18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</row>
    <row r="691" spans="1:28" ht="18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</row>
    <row r="692" spans="1:28" ht="18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</row>
    <row r="693" spans="1:28" ht="18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</row>
    <row r="694" spans="1:28" ht="18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</row>
    <row r="695" spans="1:28" ht="18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</row>
    <row r="696" spans="1:28" ht="18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</row>
    <row r="697" spans="1:28" ht="18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</row>
    <row r="698" spans="1:28" ht="1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</row>
    <row r="699" spans="1:28" ht="18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</row>
    <row r="700" spans="1:28" ht="18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</row>
    <row r="701" spans="1:28" ht="18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</row>
    <row r="702" spans="1:28" ht="18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</row>
    <row r="703" spans="1:28" ht="18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</row>
    <row r="704" spans="1:28" ht="18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</row>
    <row r="705" spans="1:28" ht="18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</row>
    <row r="706" spans="1:28" ht="18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</row>
    <row r="707" spans="1:28" ht="18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</row>
    <row r="708" spans="1:28" ht="1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</row>
    <row r="709" spans="1:28" ht="18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</row>
    <row r="710" spans="1:28" ht="18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</row>
    <row r="711" spans="1:28" ht="18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</row>
    <row r="712" spans="1:28" ht="18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</row>
    <row r="713" spans="1:28" ht="18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</row>
    <row r="714" spans="1:28" ht="18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</row>
    <row r="715" spans="1:28" ht="18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</row>
    <row r="716" spans="1:28" ht="18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</row>
    <row r="717" spans="1:28" ht="18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</row>
    <row r="718" spans="1:28" ht="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</row>
    <row r="719" spans="1:28" ht="18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</row>
    <row r="720" spans="1:28" ht="18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</row>
    <row r="721" spans="1:28" ht="18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</row>
    <row r="722" spans="1:28" ht="18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</row>
    <row r="723" spans="1:28" ht="18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</row>
    <row r="724" spans="1:28" ht="18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</row>
    <row r="725" spans="1:28" ht="18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</row>
    <row r="726" spans="1:28" ht="18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</row>
    <row r="727" spans="1:28" ht="18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</row>
    <row r="728" spans="1:28" ht="1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</row>
    <row r="729" spans="1:28" ht="18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</row>
    <row r="730" spans="1:28" ht="18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</row>
    <row r="731" spans="1:28" ht="18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</row>
    <row r="732" spans="1:28" ht="18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</row>
    <row r="733" spans="1:28" ht="18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</row>
    <row r="734" spans="1:28" ht="18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</row>
    <row r="735" spans="1:28" ht="18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</row>
    <row r="736" spans="1:28" ht="18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</row>
    <row r="737" spans="1:28" ht="18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</row>
    <row r="738" spans="1:28" ht="1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</row>
    <row r="739" spans="1:28" ht="18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</row>
    <row r="740" spans="1:28" ht="18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</row>
    <row r="741" spans="1:28" ht="18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</row>
    <row r="742" spans="1:28" ht="18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</row>
    <row r="743" spans="1:28" ht="18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</row>
    <row r="744" spans="1:28" ht="18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</row>
    <row r="745" spans="1:28" ht="18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</row>
    <row r="746" spans="1:28" ht="18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</row>
    <row r="747" spans="1:28" ht="18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</row>
    <row r="748" spans="1:28" ht="1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</row>
    <row r="749" spans="1:28" ht="18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</row>
    <row r="750" spans="1:28" ht="18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</row>
    <row r="751" spans="1:28" ht="18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</row>
    <row r="752" spans="1:28" ht="18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</row>
    <row r="753" spans="1:28" ht="18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</row>
    <row r="754" spans="1:28" ht="18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</row>
    <row r="755" spans="1:28" ht="18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</row>
    <row r="756" spans="1:28" ht="18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</row>
    <row r="757" spans="1:28" ht="18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</row>
    <row r="758" spans="1:28" ht="1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</row>
    <row r="759" spans="1:28" ht="18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</row>
    <row r="760" spans="1:28" ht="18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</row>
    <row r="761" spans="1:28" ht="18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</row>
    <row r="762" spans="1:28" ht="18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</row>
    <row r="763" spans="1:28" ht="18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</row>
    <row r="764" spans="1:28" ht="18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</row>
    <row r="765" spans="1:28" ht="18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</row>
    <row r="766" spans="1:28" ht="18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</row>
    <row r="767" spans="1:28" ht="18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</row>
    <row r="768" spans="1:28" ht="1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</row>
    <row r="769" spans="1:28" ht="18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</row>
    <row r="770" spans="1:28" ht="18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</row>
    <row r="771" spans="1:28" ht="18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</row>
    <row r="772" spans="1:28" ht="18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</row>
    <row r="773" spans="1:28" ht="18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</row>
    <row r="774" spans="1:28" ht="18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</row>
    <row r="775" spans="1:28" ht="18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</row>
    <row r="776" spans="1:28" ht="18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</row>
    <row r="777" spans="1:28" ht="18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</row>
    <row r="778" spans="1:28" ht="1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</row>
    <row r="779" spans="1:28" ht="18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</row>
    <row r="780" spans="1:28" ht="18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</row>
    <row r="781" spans="1:28" ht="18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</row>
    <row r="782" spans="1:28" ht="18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</row>
    <row r="783" spans="1:28" ht="18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</row>
    <row r="784" spans="1:28" ht="18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</row>
    <row r="785" spans="1:28" ht="18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</row>
    <row r="786" spans="1:28" ht="18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</row>
    <row r="787" spans="1:28" ht="18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</row>
    <row r="788" spans="1:28" ht="1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</row>
    <row r="789" spans="1:28" ht="18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</row>
    <row r="790" spans="1:28" ht="18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</row>
    <row r="791" spans="1:28" ht="18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</row>
    <row r="792" spans="1:28" ht="18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</row>
    <row r="793" spans="1:28" ht="18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</row>
    <row r="794" spans="1:28" ht="18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</row>
    <row r="795" spans="1:28" ht="18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</row>
    <row r="796" spans="1:28" ht="18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</row>
    <row r="797" spans="1:28" ht="18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</row>
    <row r="798" spans="1:28" ht="1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</row>
    <row r="799" spans="1:28" ht="18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</row>
    <row r="800" spans="1:28" ht="18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</row>
    <row r="801" spans="1:28" ht="18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</row>
    <row r="802" spans="1:28" ht="18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</row>
    <row r="803" spans="1:28" ht="18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</row>
    <row r="804" spans="1:28" ht="18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</row>
    <row r="805" spans="1:28" ht="18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</row>
    <row r="806" spans="1:28" ht="18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</row>
    <row r="807" spans="1:28" ht="18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</row>
    <row r="808" spans="1:28" ht="1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</row>
    <row r="809" spans="1:28" ht="18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</row>
    <row r="810" spans="1:28" ht="18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</row>
    <row r="811" spans="1:28" ht="18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</row>
    <row r="812" spans="1:28" ht="18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</row>
    <row r="813" spans="1:28" ht="18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</row>
    <row r="814" spans="1:28" ht="18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</row>
    <row r="815" spans="1:28" ht="18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</row>
    <row r="816" spans="1:28" ht="18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</row>
    <row r="817" spans="1:28" ht="18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</row>
    <row r="818" spans="1:28" ht="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</row>
    <row r="819" spans="1:28" ht="18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</row>
    <row r="820" spans="1:28" ht="18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</row>
    <row r="821" spans="1:28" ht="18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</row>
    <row r="822" spans="1:28" ht="18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</row>
    <row r="823" spans="1:28" ht="18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</row>
    <row r="824" spans="1:28" ht="18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</row>
    <row r="825" spans="1:28" ht="18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</row>
    <row r="826" spans="1:28" ht="18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</row>
    <row r="827" spans="1:28" ht="18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</row>
    <row r="828" spans="1:28" ht="1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</row>
    <row r="829" spans="1:28" ht="18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</row>
    <row r="830" spans="1:28" ht="18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</row>
    <row r="831" spans="1:28" ht="18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</row>
    <row r="832" spans="1:28" ht="18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</row>
    <row r="833" spans="1:28" ht="18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</row>
    <row r="834" spans="1:28" ht="18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</row>
    <row r="835" spans="1:28" ht="18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</row>
    <row r="836" spans="1:28" ht="18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</row>
    <row r="837" spans="1:28" ht="18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</row>
    <row r="838" spans="1:28" ht="1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</row>
    <row r="839" spans="1:28" ht="18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</row>
    <row r="840" spans="1:28" ht="18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</row>
    <row r="841" spans="1:28" ht="18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</row>
    <row r="842" spans="1:28" ht="18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</row>
    <row r="843" spans="1:28" ht="18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</row>
    <row r="844" spans="1:28" ht="18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</row>
    <row r="845" spans="1:28" ht="18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</row>
    <row r="846" spans="1:28" ht="18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</row>
    <row r="847" spans="1:28" ht="18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</row>
    <row r="848" spans="1:28" ht="1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</row>
    <row r="849" spans="1:28" ht="18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</row>
    <row r="850" spans="1:28" ht="18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</row>
    <row r="851" spans="1:28" ht="18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</row>
    <row r="852" spans="1:28" ht="18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</row>
    <row r="853" spans="1:28" ht="18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</row>
    <row r="854" spans="1:28" ht="18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</row>
    <row r="855" spans="1:28" ht="18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</row>
    <row r="856" spans="1:28" ht="18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</row>
    <row r="857" spans="1:28" ht="18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</row>
    <row r="858" spans="1:28" ht="1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</row>
    <row r="859" spans="1:28" ht="18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</row>
    <row r="860" spans="1:28" ht="18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</row>
    <row r="861" spans="1:28" ht="18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</row>
    <row r="862" spans="1:28" ht="18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</row>
    <row r="863" spans="1:28" ht="18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</row>
    <row r="864" spans="1:28" ht="18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</row>
    <row r="865" spans="1:28" ht="18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</row>
    <row r="866" spans="1:28" ht="18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</row>
    <row r="867" spans="1:28" ht="18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</row>
    <row r="868" spans="1:28" ht="1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</row>
    <row r="869" spans="1:28" ht="18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</row>
    <row r="870" spans="1:28" ht="18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</row>
    <row r="871" spans="1:28" ht="18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</row>
    <row r="872" spans="1:28" ht="18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</row>
    <row r="873" spans="1:28" ht="18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</row>
    <row r="874" spans="1:28" ht="18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</row>
    <row r="875" spans="1:28" ht="18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</row>
    <row r="876" spans="1:28" ht="18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</row>
    <row r="877" spans="1:28" ht="18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</row>
    <row r="878" spans="1:28" ht="1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</row>
    <row r="879" spans="1:28" ht="18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</row>
    <row r="880" spans="1:28" ht="18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</row>
    <row r="881" spans="1:28" ht="18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</row>
    <row r="882" spans="1:28" ht="18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</row>
    <row r="883" spans="1:28" ht="18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</row>
    <row r="884" spans="1:28" ht="18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</row>
    <row r="885" spans="1:28" ht="18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</row>
    <row r="886" spans="1:28" ht="18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</row>
    <row r="887" spans="1:28" ht="18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</row>
    <row r="888" spans="1:28" ht="1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</row>
    <row r="889" spans="1:28" ht="18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</row>
    <row r="890" spans="1:28" ht="18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</row>
    <row r="891" spans="1:28" ht="18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</row>
    <row r="892" spans="1:28" ht="18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</row>
    <row r="893" spans="1:28" ht="18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</row>
    <row r="894" spans="1:28" ht="18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</row>
    <row r="895" spans="1:28" ht="18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</row>
    <row r="896" spans="1:28" ht="18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</row>
    <row r="897" spans="1:28" ht="18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</row>
    <row r="898" spans="1:28" ht="1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</row>
    <row r="899" spans="1:28" ht="18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</row>
    <row r="900" spans="1:28" ht="18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</row>
    <row r="901" spans="1:28" ht="18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</row>
    <row r="902" spans="1:28" ht="18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</row>
    <row r="903" spans="1:28" ht="18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</row>
    <row r="904" spans="1:28" ht="18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</row>
    <row r="905" spans="1:28" ht="18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</row>
    <row r="906" spans="1:28" ht="18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</row>
    <row r="907" spans="1:28" ht="18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</row>
    <row r="908" spans="1:28" ht="1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</row>
    <row r="909" spans="1:28" ht="18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</row>
    <row r="910" spans="1:28" ht="18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</row>
    <row r="911" spans="1:28" ht="18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</row>
    <row r="912" spans="1:28" ht="18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</row>
    <row r="913" spans="1:28" ht="18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</row>
    <row r="914" spans="1:28" ht="18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</row>
    <row r="915" spans="1:28" ht="18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</row>
    <row r="916" spans="1:28" ht="18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</row>
    <row r="917" spans="1:28" ht="18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</row>
    <row r="918" spans="1:28" ht="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</row>
    <row r="919" spans="1:28" ht="18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</row>
    <row r="920" spans="1:28" ht="18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</row>
    <row r="921" spans="1:28" ht="18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</row>
    <row r="922" spans="1:28" ht="18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</row>
    <row r="923" spans="1:28" ht="18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</row>
    <row r="924" spans="1:28" ht="18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</row>
    <row r="925" spans="1:28" ht="18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</row>
    <row r="926" spans="1:28" ht="18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</row>
    <row r="927" spans="1:28" ht="18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</row>
    <row r="928" spans="1:28" ht="1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</row>
    <row r="929" spans="1:28" ht="18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</row>
    <row r="930" spans="1:28" ht="18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</row>
    <row r="931" spans="1:28" ht="18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</row>
    <row r="932" spans="1:28" ht="18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</row>
    <row r="933" spans="1:28" ht="18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</row>
    <row r="934" spans="1:28" ht="18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</row>
    <row r="935" spans="1:28" ht="18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</row>
    <row r="936" spans="1:28" ht="18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</row>
    <row r="937" spans="1:28" ht="18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</row>
    <row r="938" spans="1:28" ht="1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</row>
    <row r="939" spans="1:28" ht="18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</row>
    <row r="940" spans="1:28" ht="18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</row>
    <row r="941" spans="1:28" ht="18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</row>
    <row r="942" spans="1:28" ht="18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</row>
    <row r="943" spans="1:28" ht="18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</row>
    <row r="944" spans="1:28" ht="18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</row>
    <row r="945" spans="1:28" ht="18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</row>
    <row r="946" spans="1:28" ht="18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</row>
    <row r="947" spans="1:28" ht="18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</row>
    <row r="948" spans="1:28" ht="1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</row>
    <row r="949" spans="1:28" ht="18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</row>
    <row r="950" spans="1:28" ht="18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</row>
    <row r="951" spans="1:28" ht="18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</row>
    <row r="952" spans="1:28" ht="18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</row>
    <row r="953" spans="1:28" ht="18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</row>
    <row r="954" spans="1:28" ht="18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</row>
    <row r="955" spans="1:28" ht="18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</row>
    <row r="956" spans="1:28" ht="18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</row>
    <row r="957" spans="1:28" ht="18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</row>
    <row r="958" spans="1:28" ht="1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</row>
    <row r="959" spans="1:28" ht="18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</row>
    <row r="960" spans="1:28" ht="18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</row>
    <row r="961" spans="1:28" ht="18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</row>
    <row r="962" spans="1:28" ht="18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</row>
    <row r="963" spans="1:28" ht="18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</row>
    <row r="964" spans="1:28" ht="18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</row>
    <row r="965" spans="1:28" ht="18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</row>
    <row r="966" spans="1:28" ht="18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</row>
    <row r="967" spans="1:28" ht="18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</row>
    <row r="968" spans="1:28" ht="1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</row>
    <row r="969" spans="1:28" ht="18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</row>
    <row r="970" spans="1:28" ht="18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</row>
    <row r="971" spans="1:28" ht="18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</row>
    <row r="972" spans="1:28" ht="18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</row>
    <row r="973" spans="1:28" ht="18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</row>
    <row r="974" spans="1:28" ht="18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</row>
    <row r="975" spans="1:28" ht="18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</row>
    <row r="976" spans="1:28" ht="18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</row>
    <row r="977" spans="1:28" ht="18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</row>
    <row r="978" spans="1:28" ht="1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</row>
    <row r="979" spans="1:28" ht="18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</row>
    <row r="980" spans="1:28" ht="18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</row>
    <row r="981" spans="1:28" ht="18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</row>
    <row r="982" spans="1:28" ht="18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</row>
    <row r="983" spans="1:28" ht="18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</row>
    <row r="984" spans="1:28" ht="18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</row>
    <row r="985" spans="1:28" ht="18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</row>
    <row r="986" spans="1:28" ht="18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</row>
    <row r="987" spans="1:28" ht="18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</row>
    <row r="988" spans="1:28" ht="1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</row>
    <row r="989" spans="1:28" ht="18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</row>
    <row r="990" spans="1:28" ht="18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</row>
    <row r="991" spans="1:28" ht="18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</row>
    <row r="992" spans="1:28" ht="18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</row>
    <row r="993" spans="1:28" ht="18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</row>
    <row r="994" spans="1:28" ht="18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</row>
    <row r="995" spans="1:28" ht="18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</row>
    <row r="996" spans="1:28" ht="18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</row>
    <row r="997" spans="1:28" ht="18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</row>
    <row r="998" spans="1:28" ht="1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</row>
    <row r="999" spans="1:28" ht="18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</row>
    <row r="1000" spans="1:28" ht="18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</row>
    <row r="1001" spans="1:28" ht="18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</row>
    <row r="1002" spans="1:28" ht="18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</row>
    <row r="1003" spans="1:28" ht="18">
      <c r="A1003" s="19"/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</row>
    <row r="1004" spans="1:28" ht="18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</row>
    <row r="1005" spans="1:28" ht="18">
      <c r="A1005" s="19"/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</row>
    <row r="1006" spans="1:28" ht="18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</row>
  </sheetData>
  <mergeCells count="40">
    <mergeCell ref="Q4:R4"/>
    <mergeCell ref="S4:T4"/>
    <mergeCell ref="A4:A5"/>
    <mergeCell ref="B4:B5"/>
    <mergeCell ref="C4:C5"/>
    <mergeCell ref="D4:D5"/>
    <mergeCell ref="E4:F4"/>
    <mergeCell ref="G4:H4"/>
    <mergeCell ref="O34:P34"/>
    <mergeCell ref="I4:J4"/>
    <mergeCell ref="K4:L4"/>
    <mergeCell ref="M4:N4"/>
    <mergeCell ref="O4:P4"/>
    <mergeCell ref="E34:F34"/>
    <mergeCell ref="G34:H34"/>
    <mergeCell ref="I34:J34"/>
    <mergeCell ref="K34:L34"/>
    <mergeCell ref="M34:N34"/>
    <mergeCell ref="AA34:AB34"/>
    <mergeCell ref="U4:V4"/>
    <mergeCell ref="W4:X4"/>
    <mergeCell ref="Y4:Z4"/>
    <mergeCell ref="AA4:AB4"/>
    <mergeCell ref="Q34:R34"/>
    <mergeCell ref="S34:T34"/>
    <mergeCell ref="U34:V34"/>
    <mergeCell ref="W34:X34"/>
    <mergeCell ref="Y34:Z34"/>
    <mergeCell ref="AA39:AB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8CF12-C235-184C-9E8A-2257419F95E2}">
  <dimension ref="A1:F252"/>
  <sheetViews>
    <sheetView topLeftCell="A215" zoomScale="117" workbookViewId="0">
      <selection activeCell="D256" sqref="D256"/>
    </sheetView>
  </sheetViews>
  <sheetFormatPr baseColWidth="10" defaultRowHeight="15"/>
  <cols>
    <col min="1" max="1" width="7.1640625" bestFit="1" customWidth="1"/>
    <col min="2" max="2" width="11.83203125" bestFit="1" customWidth="1"/>
    <col min="3" max="3" width="59.33203125" bestFit="1" customWidth="1"/>
    <col min="4" max="4" width="51.6640625" bestFit="1" customWidth="1"/>
  </cols>
  <sheetData>
    <row r="1" spans="1:6">
      <c r="A1" s="18" t="s">
        <v>13</v>
      </c>
      <c r="B1" s="18" t="s">
        <v>14</v>
      </c>
      <c r="C1" s="18" t="s">
        <v>15</v>
      </c>
      <c r="D1" s="18" t="s">
        <v>16</v>
      </c>
      <c r="E1" s="18" t="s">
        <v>17</v>
      </c>
      <c r="F1" s="18" t="s">
        <v>18</v>
      </c>
    </row>
    <row r="2" spans="1:6">
      <c r="A2" t="s">
        <v>19</v>
      </c>
      <c r="B2">
        <v>8859845000186</v>
      </c>
      <c r="C2" t="s">
        <v>20</v>
      </c>
      <c r="D2" t="s">
        <v>20</v>
      </c>
      <c r="E2" s="16">
        <v>1590</v>
      </c>
      <c r="F2">
        <v>999</v>
      </c>
    </row>
    <row r="3" spans="1:6">
      <c r="A3" t="s">
        <v>21</v>
      </c>
      <c r="B3">
        <v>8859845000414</v>
      </c>
      <c r="C3" t="s">
        <v>22</v>
      </c>
      <c r="D3" t="s">
        <v>22</v>
      </c>
      <c r="E3" s="16">
        <v>1190</v>
      </c>
      <c r="F3">
        <v>690</v>
      </c>
    </row>
    <row r="4" spans="1:6">
      <c r="A4" t="s">
        <v>23</v>
      </c>
      <c r="B4">
        <v>8859845000421</v>
      </c>
      <c r="C4" t="s">
        <v>24</v>
      </c>
      <c r="D4" t="s">
        <v>24</v>
      </c>
      <c r="E4">
        <v>790</v>
      </c>
      <c r="F4">
        <v>490</v>
      </c>
    </row>
    <row r="5" spans="1:6">
      <c r="A5" t="s">
        <v>25</v>
      </c>
      <c r="B5">
        <v>8859845000438</v>
      </c>
      <c r="C5" t="s">
        <v>26</v>
      </c>
      <c r="D5" t="s">
        <v>26</v>
      </c>
      <c r="E5">
        <v>690</v>
      </c>
      <c r="F5">
        <v>390</v>
      </c>
    </row>
    <row r="6" spans="1:6">
      <c r="A6" t="s">
        <v>27</v>
      </c>
      <c r="B6">
        <v>8859845000445</v>
      </c>
      <c r="C6" t="s">
        <v>28</v>
      </c>
      <c r="D6" t="s">
        <v>28</v>
      </c>
      <c r="E6">
        <v>790</v>
      </c>
      <c r="F6">
        <v>490</v>
      </c>
    </row>
    <row r="7" spans="1:6">
      <c r="A7" t="s">
        <v>29</v>
      </c>
      <c r="B7">
        <v>8859845000230</v>
      </c>
      <c r="C7" t="s">
        <v>30</v>
      </c>
      <c r="D7" t="s">
        <v>31</v>
      </c>
      <c r="E7" s="16">
        <v>1590</v>
      </c>
      <c r="F7">
        <v>999</v>
      </c>
    </row>
    <row r="8" spans="1:6">
      <c r="A8" t="s">
        <v>32</v>
      </c>
      <c r="B8">
        <v>8859845000360</v>
      </c>
      <c r="C8" t="s">
        <v>33</v>
      </c>
      <c r="D8" t="s">
        <v>33</v>
      </c>
      <c r="E8" s="16">
        <v>1399</v>
      </c>
      <c r="F8">
        <v>999</v>
      </c>
    </row>
    <row r="9" spans="1:6">
      <c r="A9" t="s">
        <v>34</v>
      </c>
      <c r="B9">
        <v>8859845000575</v>
      </c>
      <c r="C9" t="s">
        <v>35</v>
      </c>
      <c r="D9" t="s">
        <v>36</v>
      </c>
      <c r="E9">
        <v>790</v>
      </c>
      <c r="F9">
        <v>599</v>
      </c>
    </row>
    <row r="10" spans="1:6">
      <c r="A10" t="s">
        <v>37</v>
      </c>
      <c r="B10">
        <v>8859845000582</v>
      </c>
      <c r="C10" t="s">
        <v>38</v>
      </c>
      <c r="D10" t="s">
        <v>39</v>
      </c>
      <c r="E10">
        <v>690</v>
      </c>
      <c r="F10">
        <v>499</v>
      </c>
    </row>
    <row r="11" spans="1:6">
      <c r="A11" t="s">
        <v>40</v>
      </c>
      <c r="B11">
        <v>8859845000599</v>
      </c>
      <c r="C11" t="s">
        <v>41</v>
      </c>
      <c r="D11" t="s">
        <v>42</v>
      </c>
      <c r="E11" s="16">
        <v>2590</v>
      </c>
      <c r="F11" s="16">
        <v>1990</v>
      </c>
    </row>
    <row r="12" spans="1:6">
      <c r="A12" t="s">
        <v>43</v>
      </c>
      <c r="B12">
        <v>8859845000506</v>
      </c>
      <c r="C12" t="s">
        <v>44</v>
      </c>
      <c r="D12" t="s">
        <v>45</v>
      </c>
      <c r="E12">
        <v>190</v>
      </c>
      <c r="F12">
        <v>149</v>
      </c>
    </row>
    <row r="13" spans="1:6">
      <c r="A13" t="s">
        <v>46</v>
      </c>
      <c r="B13">
        <v>8859845000537</v>
      </c>
      <c r="C13" t="s">
        <v>47</v>
      </c>
      <c r="D13" t="s">
        <v>48</v>
      </c>
      <c r="E13">
        <v>190</v>
      </c>
      <c r="F13">
        <v>149</v>
      </c>
    </row>
    <row r="14" spans="1:6">
      <c r="A14" t="s">
        <v>49</v>
      </c>
      <c r="B14">
        <v>8859845000209</v>
      </c>
      <c r="C14" t="s">
        <v>50</v>
      </c>
      <c r="D14" t="s">
        <v>51</v>
      </c>
      <c r="E14" s="16">
        <v>1590</v>
      </c>
      <c r="F14">
        <v>999</v>
      </c>
    </row>
    <row r="15" spans="1:6">
      <c r="A15" t="s">
        <v>52</v>
      </c>
      <c r="B15">
        <v>8859845000216</v>
      </c>
      <c r="C15" t="s">
        <v>53</v>
      </c>
      <c r="D15" t="s">
        <v>54</v>
      </c>
      <c r="E15" s="16">
        <v>2490</v>
      </c>
      <c r="F15" s="16">
        <v>1590</v>
      </c>
    </row>
    <row r="16" spans="1:6">
      <c r="A16" t="s">
        <v>55</v>
      </c>
      <c r="B16">
        <v>8859845000223</v>
      </c>
      <c r="C16" t="s">
        <v>56</v>
      </c>
      <c r="D16" t="s">
        <v>57</v>
      </c>
      <c r="E16" s="16">
        <v>2490</v>
      </c>
      <c r="F16" s="16">
        <v>1590</v>
      </c>
    </row>
    <row r="17" spans="1:6">
      <c r="A17" t="s">
        <v>58</v>
      </c>
      <c r="B17">
        <v>8859845000490</v>
      </c>
      <c r="C17" t="s">
        <v>59</v>
      </c>
      <c r="D17" t="s">
        <v>60</v>
      </c>
      <c r="E17" s="16">
        <v>1700</v>
      </c>
      <c r="F17" s="16">
        <v>1190</v>
      </c>
    </row>
    <row r="18" spans="1:6">
      <c r="A18" t="s">
        <v>61</v>
      </c>
      <c r="B18">
        <v>8859845000193</v>
      </c>
      <c r="C18" t="s">
        <v>62</v>
      </c>
      <c r="D18" t="s">
        <v>63</v>
      </c>
      <c r="E18" s="16">
        <v>3190</v>
      </c>
      <c r="F18" s="16">
        <v>2190</v>
      </c>
    </row>
    <row r="19" spans="1:6">
      <c r="A19" t="s">
        <v>64</v>
      </c>
      <c r="B19">
        <v>8859845000247</v>
      </c>
      <c r="C19" t="s">
        <v>65</v>
      </c>
      <c r="D19" t="s">
        <v>66</v>
      </c>
      <c r="E19" s="16">
        <v>3590</v>
      </c>
      <c r="F19" s="16">
        <v>1590</v>
      </c>
    </row>
    <row r="20" spans="1:6">
      <c r="A20" t="s">
        <v>67</v>
      </c>
      <c r="B20">
        <v>8859845000339</v>
      </c>
      <c r="C20" t="s">
        <v>68</v>
      </c>
      <c r="D20" t="s">
        <v>69</v>
      </c>
      <c r="E20" s="16">
        <v>3990</v>
      </c>
      <c r="F20" s="16">
        <v>2490</v>
      </c>
    </row>
    <row r="21" spans="1:6">
      <c r="A21" t="s">
        <v>70</v>
      </c>
      <c r="B21">
        <v>8859845000261</v>
      </c>
      <c r="C21" t="s">
        <v>71</v>
      </c>
      <c r="D21" t="s">
        <v>72</v>
      </c>
      <c r="E21" s="16">
        <v>6990</v>
      </c>
      <c r="F21" s="16">
        <v>4590</v>
      </c>
    </row>
    <row r="22" spans="1:6">
      <c r="A22" t="s">
        <v>73</v>
      </c>
      <c r="B22">
        <v>8859845000551</v>
      </c>
      <c r="C22" t="s">
        <v>74</v>
      </c>
      <c r="D22" t="s">
        <v>75</v>
      </c>
      <c r="E22" s="16">
        <v>5700</v>
      </c>
      <c r="F22" s="16">
        <v>3990</v>
      </c>
    </row>
    <row r="23" spans="1:6">
      <c r="A23" t="s">
        <v>76</v>
      </c>
      <c r="B23">
        <v>8859845000407</v>
      </c>
      <c r="C23" t="s">
        <v>77</v>
      </c>
      <c r="D23" t="s">
        <v>77</v>
      </c>
      <c r="E23" s="16">
        <v>1399</v>
      </c>
      <c r="F23">
        <v>790</v>
      </c>
    </row>
    <row r="24" spans="1:6">
      <c r="A24" t="s">
        <v>78</v>
      </c>
      <c r="B24">
        <v>8859845000254</v>
      </c>
      <c r="C24" t="s">
        <v>79</v>
      </c>
      <c r="D24" t="s">
        <v>80</v>
      </c>
      <c r="E24">
        <v>950</v>
      </c>
      <c r="F24">
        <v>590</v>
      </c>
    </row>
    <row r="25" spans="1:6">
      <c r="A25" t="s">
        <v>81</v>
      </c>
      <c r="B25">
        <v>8859845000377</v>
      </c>
      <c r="C25" t="s">
        <v>82</v>
      </c>
      <c r="D25" t="s">
        <v>82</v>
      </c>
      <c r="E25" s="16">
        <v>1399</v>
      </c>
      <c r="F25">
        <v>999</v>
      </c>
    </row>
    <row r="26" spans="1:6">
      <c r="A26" t="s">
        <v>83</v>
      </c>
      <c r="B26">
        <v>8859845000179</v>
      </c>
      <c r="C26" t="s">
        <v>84</v>
      </c>
      <c r="D26" t="s">
        <v>85</v>
      </c>
      <c r="E26" s="16">
        <v>1990</v>
      </c>
      <c r="F26" s="16">
        <v>1490</v>
      </c>
    </row>
    <row r="27" spans="1:6">
      <c r="A27" t="s">
        <v>86</v>
      </c>
      <c r="B27">
        <v>8859845000346</v>
      </c>
      <c r="C27" t="s">
        <v>87</v>
      </c>
      <c r="D27" t="s">
        <v>87</v>
      </c>
      <c r="E27" s="16">
        <v>1399</v>
      </c>
      <c r="F27">
        <v>999</v>
      </c>
    </row>
    <row r="28" spans="1:6">
      <c r="A28" t="s">
        <v>88</v>
      </c>
      <c r="B28">
        <v>8859845000353</v>
      </c>
      <c r="C28" t="s">
        <v>89</v>
      </c>
      <c r="D28" t="s">
        <v>89</v>
      </c>
      <c r="E28">
        <v>999</v>
      </c>
      <c r="F28">
        <v>699</v>
      </c>
    </row>
    <row r="29" spans="1:6">
      <c r="A29" t="s">
        <v>90</v>
      </c>
      <c r="B29">
        <v>8859845000292</v>
      </c>
      <c r="C29" t="s">
        <v>91</v>
      </c>
      <c r="D29" t="s">
        <v>92</v>
      </c>
      <c r="E29" s="16">
        <v>2250</v>
      </c>
      <c r="F29" s="16">
        <v>1590</v>
      </c>
    </row>
    <row r="30" spans="1:6">
      <c r="A30" t="s">
        <v>93</v>
      </c>
      <c r="B30">
        <v>8859845000384</v>
      </c>
      <c r="C30" t="s">
        <v>94</v>
      </c>
      <c r="D30" t="s">
        <v>95</v>
      </c>
      <c r="E30" s="16">
        <v>1399</v>
      </c>
      <c r="F30">
        <v>999</v>
      </c>
    </row>
    <row r="31" spans="1:6">
      <c r="A31" t="s">
        <v>96</v>
      </c>
      <c r="B31">
        <v>8859845000391</v>
      </c>
      <c r="C31" t="s">
        <v>97</v>
      </c>
      <c r="D31" t="s">
        <v>98</v>
      </c>
      <c r="E31" s="16">
        <v>1399</v>
      </c>
      <c r="F31">
        <v>999</v>
      </c>
    </row>
    <row r="32" spans="1:6">
      <c r="A32" t="s">
        <v>99</v>
      </c>
      <c r="B32">
        <v>8859845000568</v>
      </c>
      <c r="C32" t="s">
        <v>100</v>
      </c>
      <c r="D32" t="s">
        <v>101</v>
      </c>
      <c r="E32" s="16">
        <v>1590</v>
      </c>
      <c r="F32" s="16">
        <v>1190</v>
      </c>
    </row>
    <row r="33" spans="1:6">
      <c r="A33" t="s">
        <v>102</v>
      </c>
      <c r="B33">
        <v>8859845000544</v>
      </c>
      <c r="C33" t="s">
        <v>103</v>
      </c>
      <c r="D33" t="s">
        <v>104</v>
      </c>
      <c r="E33" s="16">
        <v>1399</v>
      </c>
      <c r="F33">
        <v>999</v>
      </c>
    </row>
    <row r="34" spans="1:6">
      <c r="A34" t="s">
        <v>105</v>
      </c>
      <c r="B34">
        <v>8859845000513</v>
      </c>
      <c r="C34" t="s">
        <v>106</v>
      </c>
      <c r="D34" t="s">
        <v>107</v>
      </c>
      <c r="E34" s="16">
        <v>1190</v>
      </c>
      <c r="F34">
        <v>690</v>
      </c>
    </row>
    <row r="35" spans="1:6">
      <c r="A35" t="s">
        <v>108</v>
      </c>
      <c r="B35">
        <v>8859845000520</v>
      </c>
      <c r="C35" t="s">
        <v>109</v>
      </c>
      <c r="D35" t="s">
        <v>110</v>
      </c>
      <c r="E35" s="16">
        <v>1990</v>
      </c>
      <c r="F35" s="16">
        <v>1350</v>
      </c>
    </row>
    <row r="36" spans="1:6">
      <c r="A36" t="s">
        <v>111</v>
      </c>
      <c r="B36">
        <v>8859845000896</v>
      </c>
      <c r="C36" t="s">
        <v>112</v>
      </c>
      <c r="D36" t="s">
        <v>113</v>
      </c>
      <c r="E36" s="16">
        <v>1090</v>
      </c>
      <c r="F36">
        <v>790</v>
      </c>
    </row>
    <row r="37" spans="1:6">
      <c r="A37" t="s">
        <v>114</v>
      </c>
      <c r="B37" t="s">
        <v>115</v>
      </c>
      <c r="C37" t="s">
        <v>116</v>
      </c>
      <c r="D37" t="s">
        <v>117</v>
      </c>
      <c r="E37" s="16">
        <v>1590</v>
      </c>
      <c r="F37">
        <v>990</v>
      </c>
    </row>
    <row r="38" spans="1:6">
      <c r="A38" t="s">
        <v>118</v>
      </c>
      <c r="B38" t="s">
        <v>115</v>
      </c>
      <c r="C38" t="s">
        <v>119</v>
      </c>
      <c r="D38" t="s">
        <v>120</v>
      </c>
      <c r="E38" s="16">
        <v>1590</v>
      </c>
      <c r="F38">
        <v>990</v>
      </c>
    </row>
    <row r="39" spans="1:6">
      <c r="A39" t="s">
        <v>121</v>
      </c>
      <c r="B39" t="s">
        <v>115</v>
      </c>
      <c r="C39" t="s">
        <v>122</v>
      </c>
      <c r="D39" t="s">
        <v>123</v>
      </c>
      <c r="E39" s="16">
        <v>1290</v>
      </c>
      <c r="F39">
        <v>790</v>
      </c>
    </row>
    <row r="40" spans="1:6">
      <c r="A40" t="s">
        <v>124</v>
      </c>
      <c r="B40" t="s">
        <v>115</v>
      </c>
      <c r="C40" t="s">
        <v>125</v>
      </c>
      <c r="D40" t="s">
        <v>126</v>
      </c>
      <c r="E40" s="16">
        <v>1290</v>
      </c>
      <c r="F40">
        <v>790</v>
      </c>
    </row>
    <row r="41" spans="1:6">
      <c r="A41" t="s">
        <v>127</v>
      </c>
      <c r="B41" t="s">
        <v>115</v>
      </c>
      <c r="C41" t="s">
        <v>128</v>
      </c>
      <c r="D41" t="s">
        <v>129</v>
      </c>
      <c r="E41" s="16">
        <v>1290</v>
      </c>
      <c r="F41">
        <v>790</v>
      </c>
    </row>
    <row r="42" spans="1:6">
      <c r="A42" t="s">
        <v>130</v>
      </c>
      <c r="B42" t="s">
        <v>115</v>
      </c>
      <c r="C42" t="s">
        <v>131</v>
      </c>
      <c r="D42" t="s">
        <v>132</v>
      </c>
      <c r="E42" s="16">
        <v>1290</v>
      </c>
      <c r="F42">
        <v>790</v>
      </c>
    </row>
    <row r="43" spans="1:6">
      <c r="A43" t="s">
        <v>133</v>
      </c>
      <c r="B43">
        <v>8859845002975</v>
      </c>
      <c r="C43" t="s">
        <v>134</v>
      </c>
      <c r="D43" t="s">
        <v>135</v>
      </c>
      <c r="E43" s="16">
        <v>3390</v>
      </c>
      <c r="F43" s="16">
        <v>1990</v>
      </c>
    </row>
    <row r="44" spans="1:6">
      <c r="A44" t="s">
        <v>136</v>
      </c>
      <c r="B44">
        <v>8859845002982</v>
      </c>
      <c r="C44" t="s">
        <v>137</v>
      </c>
      <c r="D44" t="s">
        <v>138</v>
      </c>
      <c r="E44" s="16">
        <v>3390</v>
      </c>
      <c r="F44" s="16">
        <v>1990</v>
      </c>
    </row>
    <row r="45" spans="1:6">
      <c r="A45" t="s">
        <v>139</v>
      </c>
      <c r="B45">
        <v>8859845000148</v>
      </c>
      <c r="C45" t="s">
        <v>140</v>
      </c>
      <c r="D45" t="s">
        <v>140</v>
      </c>
      <c r="E45">
        <v>590</v>
      </c>
      <c r="F45">
        <v>490</v>
      </c>
    </row>
    <row r="46" spans="1:6">
      <c r="A46" t="s">
        <v>141</v>
      </c>
      <c r="B46">
        <v>8859845000162</v>
      </c>
      <c r="C46" t="s">
        <v>142</v>
      </c>
      <c r="D46" t="s">
        <v>143</v>
      </c>
      <c r="E46" s="16">
        <v>7100</v>
      </c>
      <c r="F46" s="16">
        <v>4990</v>
      </c>
    </row>
    <row r="47" spans="1:6">
      <c r="A47" t="s">
        <v>144</v>
      </c>
      <c r="B47">
        <v>8859845000285</v>
      </c>
      <c r="C47" t="s">
        <v>145</v>
      </c>
      <c r="D47" t="s">
        <v>146</v>
      </c>
      <c r="E47" s="16">
        <v>2590</v>
      </c>
      <c r="F47" s="16">
        <v>1690</v>
      </c>
    </row>
    <row r="48" spans="1:6">
      <c r="A48" t="s">
        <v>147</v>
      </c>
      <c r="B48">
        <v>8859845001619</v>
      </c>
      <c r="C48" t="s">
        <v>148</v>
      </c>
      <c r="D48" t="s">
        <v>149</v>
      </c>
      <c r="E48" s="16">
        <v>2760</v>
      </c>
      <c r="F48" s="16">
        <v>1790</v>
      </c>
    </row>
    <row r="49" spans="1:6">
      <c r="A49" t="s">
        <v>150</v>
      </c>
      <c r="B49">
        <v>8859845000452</v>
      </c>
      <c r="C49" t="s">
        <v>151</v>
      </c>
      <c r="D49" t="s">
        <v>152</v>
      </c>
      <c r="E49">
        <v>690</v>
      </c>
      <c r="F49">
        <v>490</v>
      </c>
    </row>
    <row r="50" spans="1:6">
      <c r="A50" t="s">
        <v>153</v>
      </c>
      <c r="B50">
        <v>8859845000469</v>
      </c>
      <c r="C50" t="s">
        <v>154</v>
      </c>
      <c r="D50" t="s">
        <v>155</v>
      </c>
      <c r="E50" s="16">
        <v>2490</v>
      </c>
      <c r="F50" s="16">
        <v>1290</v>
      </c>
    </row>
    <row r="51" spans="1:6">
      <c r="A51" t="s">
        <v>156</v>
      </c>
      <c r="B51">
        <v>8859845000476</v>
      </c>
      <c r="C51" t="s">
        <v>157</v>
      </c>
      <c r="D51" t="s">
        <v>158</v>
      </c>
      <c r="E51" s="16">
        <v>2490</v>
      </c>
      <c r="F51" s="16">
        <v>1290</v>
      </c>
    </row>
    <row r="52" spans="1:6">
      <c r="A52" t="s">
        <v>159</v>
      </c>
      <c r="B52">
        <v>8859845000483</v>
      </c>
      <c r="C52" t="s">
        <v>160</v>
      </c>
      <c r="D52" t="s">
        <v>161</v>
      </c>
      <c r="E52" s="16">
        <v>1390</v>
      </c>
      <c r="F52">
        <v>990</v>
      </c>
    </row>
    <row r="53" spans="1:6">
      <c r="A53" t="s">
        <v>162</v>
      </c>
      <c r="B53">
        <v>8859845000605</v>
      </c>
      <c r="C53" t="s">
        <v>163</v>
      </c>
      <c r="D53" t="s">
        <v>164</v>
      </c>
      <c r="E53">
        <v>990</v>
      </c>
      <c r="F53">
        <v>599</v>
      </c>
    </row>
    <row r="54" spans="1:6">
      <c r="A54" t="s">
        <v>165</v>
      </c>
      <c r="B54">
        <v>8859845000612</v>
      </c>
      <c r="C54" t="s">
        <v>166</v>
      </c>
      <c r="D54" t="s">
        <v>167</v>
      </c>
      <c r="E54">
        <v>590</v>
      </c>
      <c r="F54">
        <v>399</v>
      </c>
    </row>
    <row r="55" spans="1:6">
      <c r="A55" t="s">
        <v>168</v>
      </c>
      <c r="B55">
        <v>8859845000629</v>
      </c>
      <c r="C55" t="s">
        <v>169</v>
      </c>
      <c r="D55" t="s">
        <v>170</v>
      </c>
      <c r="E55">
        <v>790</v>
      </c>
      <c r="F55">
        <v>599</v>
      </c>
    </row>
    <row r="56" spans="1:6">
      <c r="A56" t="s">
        <v>171</v>
      </c>
      <c r="B56">
        <v>8859845000018</v>
      </c>
      <c r="C56" t="s">
        <v>172</v>
      </c>
      <c r="D56" t="s">
        <v>173</v>
      </c>
      <c r="E56">
        <v>850</v>
      </c>
      <c r="F56">
        <v>490</v>
      </c>
    </row>
    <row r="57" spans="1:6">
      <c r="A57" t="s">
        <v>174</v>
      </c>
      <c r="B57">
        <v>8859845000025</v>
      </c>
      <c r="C57" t="s">
        <v>175</v>
      </c>
      <c r="D57" t="s">
        <v>176</v>
      </c>
      <c r="E57">
        <v>990</v>
      </c>
      <c r="F57">
        <v>590</v>
      </c>
    </row>
    <row r="58" spans="1:6">
      <c r="A58" t="s">
        <v>177</v>
      </c>
      <c r="B58">
        <v>8859845000070</v>
      </c>
      <c r="C58" t="s">
        <v>178</v>
      </c>
      <c r="D58" t="s">
        <v>179</v>
      </c>
      <c r="E58" s="16">
        <v>2150</v>
      </c>
      <c r="F58" s="16">
        <v>1290</v>
      </c>
    </row>
    <row r="59" spans="1:6">
      <c r="A59" t="s">
        <v>180</v>
      </c>
      <c r="B59">
        <v>8859845000087</v>
      </c>
      <c r="C59" t="s">
        <v>181</v>
      </c>
      <c r="D59" t="s">
        <v>182</v>
      </c>
      <c r="E59" s="16">
        <v>2150</v>
      </c>
      <c r="F59" s="16">
        <v>1290</v>
      </c>
    </row>
    <row r="60" spans="1:6">
      <c r="A60" t="s">
        <v>183</v>
      </c>
      <c r="B60">
        <v>8859845000278</v>
      </c>
      <c r="C60" t="s">
        <v>184</v>
      </c>
      <c r="D60" t="s">
        <v>185</v>
      </c>
      <c r="E60" s="16">
        <v>6490</v>
      </c>
      <c r="F60" s="16">
        <v>3890</v>
      </c>
    </row>
    <row r="61" spans="1:6">
      <c r="A61" t="s">
        <v>186</v>
      </c>
      <c r="B61">
        <v>8859845001572</v>
      </c>
      <c r="C61" t="s">
        <v>187</v>
      </c>
      <c r="D61" t="s">
        <v>188</v>
      </c>
      <c r="E61" s="16">
        <v>1250</v>
      </c>
      <c r="F61">
        <v>790</v>
      </c>
    </row>
    <row r="62" spans="1:6">
      <c r="A62" t="s">
        <v>189</v>
      </c>
      <c r="B62">
        <v>8859845001589</v>
      </c>
      <c r="C62" t="s">
        <v>190</v>
      </c>
      <c r="D62" t="s">
        <v>191</v>
      </c>
      <c r="E62" s="16">
        <v>1550</v>
      </c>
      <c r="F62">
        <v>990</v>
      </c>
    </row>
    <row r="63" spans="1:6">
      <c r="A63" t="s">
        <v>192</v>
      </c>
      <c r="B63" t="s">
        <v>115</v>
      </c>
      <c r="C63" t="s">
        <v>193</v>
      </c>
      <c r="D63" t="s">
        <v>194</v>
      </c>
      <c r="E63" s="16">
        <v>8400</v>
      </c>
      <c r="F63" s="16">
        <v>4990</v>
      </c>
    </row>
    <row r="64" spans="1:6">
      <c r="A64" t="s">
        <v>195</v>
      </c>
      <c r="B64" t="s">
        <v>115</v>
      </c>
      <c r="C64" t="s">
        <v>196</v>
      </c>
      <c r="D64" t="s">
        <v>197</v>
      </c>
      <c r="E64" s="16">
        <v>8400</v>
      </c>
      <c r="F64" s="16">
        <v>4990</v>
      </c>
    </row>
    <row r="65" spans="1:6">
      <c r="A65" t="s">
        <v>198</v>
      </c>
      <c r="B65" t="s">
        <v>115</v>
      </c>
      <c r="C65" t="s">
        <v>199</v>
      </c>
      <c r="D65" t="s">
        <v>200</v>
      </c>
      <c r="E65" s="16">
        <v>34900</v>
      </c>
      <c r="F65" s="16">
        <v>19990</v>
      </c>
    </row>
    <row r="66" spans="1:6">
      <c r="A66" t="s">
        <v>201</v>
      </c>
      <c r="B66">
        <v>8859845001367</v>
      </c>
      <c r="C66" t="s">
        <v>202</v>
      </c>
      <c r="D66" t="s">
        <v>203</v>
      </c>
      <c r="E66" s="16">
        <v>34900</v>
      </c>
      <c r="F66" s="16">
        <v>19990</v>
      </c>
    </row>
    <row r="67" spans="1:6">
      <c r="A67" t="s">
        <v>204</v>
      </c>
      <c r="B67">
        <v>8859845001992</v>
      </c>
      <c r="C67" t="s">
        <v>205</v>
      </c>
      <c r="D67" t="s">
        <v>206</v>
      </c>
      <c r="E67" s="16">
        <v>34500</v>
      </c>
      <c r="F67" s="16">
        <v>22900</v>
      </c>
    </row>
    <row r="68" spans="1:6">
      <c r="A68" t="s">
        <v>207</v>
      </c>
      <c r="B68" t="s">
        <v>115</v>
      </c>
      <c r="C68" t="s">
        <v>208</v>
      </c>
      <c r="D68" t="s">
        <v>209</v>
      </c>
      <c r="E68" s="16">
        <v>34500</v>
      </c>
      <c r="F68" s="16">
        <v>22900</v>
      </c>
    </row>
    <row r="69" spans="1:6">
      <c r="A69" t="s">
        <v>210</v>
      </c>
      <c r="B69">
        <v>8859845002746</v>
      </c>
      <c r="C69" t="s">
        <v>211</v>
      </c>
      <c r="D69" t="s">
        <v>212</v>
      </c>
      <c r="E69" s="16">
        <v>34500</v>
      </c>
      <c r="F69" s="16">
        <v>22900</v>
      </c>
    </row>
    <row r="70" spans="1:6">
      <c r="A70" t="s">
        <v>213</v>
      </c>
      <c r="B70" t="s">
        <v>115</v>
      </c>
      <c r="C70" t="s">
        <v>214</v>
      </c>
      <c r="D70" t="s">
        <v>215</v>
      </c>
      <c r="E70" s="16">
        <v>22900</v>
      </c>
      <c r="F70" s="16">
        <v>13900</v>
      </c>
    </row>
    <row r="71" spans="1:6">
      <c r="A71" t="s">
        <v>216</v>
      </c>
      <c r="B71">
        <v>8859845000780</v>
      </c>
      <c r="C71" t="s">
        <v>217</v>
      </c>
      <c r="D71" t="s">
        <v>218</v>
      </c>
      <c r="E71" s="16">
        <v>22900</v>
      </c>
      <c r="F71" s="16">
        <v>12900</v>
      </c>
    </row>
    <row r="72" spans="1:6">
      <c r="A72" t="s">
        <v>219</v>
      </c>
      <c r="B72">
        <v>8859845002005</v>
      </c>
      <c r="C72" t="s">
        <v>220</v>
      </c>
      <c r="D72" t="s">
        <v>221</v>
      </c>
      <c r="E72" s="16">
        <v>11900</v>
      </c>
      <c r="F72" s="16">
        <v>8400</v>
      </c>
    </row>
    <row r="73" spans="1:6">
      <c r="A73" t="s">
        <v>222</v>
      </c>
      <c r="B73" t="s">
        <v>115</v>
      </c>
      <c r="C73" t="s">
        <v>223</v>
      </c>
      <c r="D73" t="s">
        <v>224</v>
      </c>
      <c r="E73" s="16">
        <v>11900</v>
      </c>
      <c r="F73" s="16">
        <v>8900</v>
      </c>
    </row>
    <row r="74" spans="1:6">
      <c r="A74" t="s">
        <v>225</v>
      </c>
      <c r="B74">
        <v>8859845002180</v>
      </c>
      <c r="C74" t="s">
        <v>226</v>
      </c>
      <c r="D74" t="s">
        <v>227</v>
      </c>
      <c r="E74" s="16">
        <v>6900</v>
      </c>
      <c r="F74" s="16">
        <v>6900</v>
      </c>
    </row>
    <row r="75" spans="1:6">
      <c r="A75" t="s">
        <v>228</v>
      </c>
      <c r="B75" t="s">
        <v>115</v>
      </c>
      <c r="C75" t="s">
        <v>229</v>
      </c>
      <c r="D75" t="s">
        <v>230</v>
      </c>
      <c r="E75" s="16">
        <v>11900</v>
      </c>
      <c r="F75" s="16">
        <v>8900</v>
      </c>
    </row>
    <row r="76" spans="1:6">
      <c r="A76" t="s">
        <v>231</v>
      </c>
      <c r="B76" t="s">
        <v>115</v>
      </c>
      <c r="C76" t="s">
        <v>232</v>
      </c>
      <c r="D76" t="s">
        <v>233</v>
      </c>
      <c r="E76" s="16">
        <v>11900</v>
      </c>
      <c r="F76" s="16">
        <v>8900</v>
      </c>
    </row>
    <row r="77" spans="1:6">
      <c r="A77" t="s">
        <v>234</v>
      </c>
      <c r="B77" t="s">
        <v>115</v>
      </c>
      <c r="C77" t="s">
        <v>235</v>
      </c>
      <c r="D77" t="s">
        <v>236</v>
      </c>
      <c r="E77" s="16">
        <v>34900</v>
      </c>
      <c r="F77" s="16">
        <v>19990</v>
      </c>
    </row>
    <row r="78" spans="1:6">
      <c r="A78" t="s">
        <v>237</v>
      </c>
      <c r="B78" t="s">
        <v>115</v>
      </c>
      <c r="C78" t="s">
        <v>238</v>
      </c>
      <c r="D78" t="s">
        <v>239</v>
      </c>
      <c r="E78" s="16">
        <v>38900</v>
      </c>
      <c r="F78" s="16">
        <v>22990</v>
      </c>
    </row>
    <row r="79" spans="1:6">
      <c r="A79" t="s">
        <v>240</v>
      </c>
      <c r="B79" t="s">
        <v>115</v>
      </c>
      <c r="C79" t="s">
        <v>241</v>
      </c>
      <c r="D79" t="s">
        <v>242</v>
      </c>
      <c r="E79" s="16">
        <v>38900</v>
      </c>
      <c r="F79" s="16">
        <v>22990</v>
      </c>
    </row>
    <row r="80" spans="1:6">
      <c r="A80" t="s">
        <v>243</v>
      </c>
      <c r="B80" t="s">
        <v>115</v>
      </c>
      <c r="C80" t="s">
        <v>244</v>
      </c>
      <c r="D80" t="s">
        <v>245</v>
      </c>
      <c r="E80" s="16">
        <v>33500</v>
      </c>
      <c r="F80" s="16">
        <v>21900</v>
      </c>
    </row>
    <row r="81" spans="1:6">
      <c r="A81" t="s">
        <v>246</v>
      </c>
      <c r="B81" t="s">
        <v>115</v>
      </c>
      <c r="C81" t="s">
        <v>247</v>
      </c>
      <c r="D81" t="s">
        <v>248</v>
      </c>
      <c r="E81" s="16">
        <v>11900</v>
      </c>
      <c r="F81" s="16">
        <v>8900</v>
      </c>
    </row>
    <row r="82" spans="1:6">
      <c r="A82" t="s">
        <v>249</v>
      </c>
      <c r="B82" t="s">
        <v>115</v>
      </c>
      <c r="C82" t="s">
        <v>250</v>
      </c>
      <c r="D82" t="s">
        <v>251</v>
      </c>
      <c r="E82" s="16">
        <v>11400</v>
      </c>
      <c r="F82" s="16">
        <v>7990</v>
      </c>
    </row>
    <row r="83" spans="1:6">
      <c r="A83" t="s">
        <v>252</v>
      </c>
      <c r="B83" t="s">
        <v>115</v>
      </c>
      <c r="C83" t="s">
        <v>253</v>
      </c>
      <c r="D83" t="s">
        <v>254</v>
      </c>
      <c r="E83" s="16">
        <v>34900</v>
      </c>
      <c r="F83" s="16">
        <v>19990</v>
      </c>
    </row>
    <row r="84" spans="1:6">
      <c r="A84" t="s">
        <v>255</v>
      </c>
      <c r="B84" t="s">
        <v>115</v>
      </c>
      <c r="C84" t="s">
        <v>256</v>
      </c>
      <c r="D84" t="s">
        <v>257</v>
      </c>
      <c r="E84" s="16">
        <v>22900</v>
      </c>
      <c r="F84" s="16">
        <v>13900</v>
      </c>
    </row>
    <row r="85" spans="1:6">
      <c r="A85" t="s">
        <v>258</v>
      </c>
      <c r="B85" t="s">
        <v>115</v>
      </c>
      <c r="C85" t="s">
        <v>259</v>
      </c>
      <c r="D85" t="s">
        <v>260</v>
      </c>
      <c r="E85" s="16">
        <v>37500</v>
      </c>
      <c r="F85" s="16">
        <v>24900</v>
      </c>
    </row>
    <row r="86" spans="1:6">
      <c r="A86" t="s">
        <v>261</v>
      </c>
      <c r="B86" t="s">
        <v>115</v>
      </c>
      <c r="C86" t="s">
        <v>262</v>
      </c>
      <c r="D86" t="s">
        <v>263</v>
      </c>
      <c r="E86" s="16">
        <v>22300</v>
      </c>
      <c r="F86" s="16">
        <v>14900</v>
      </c>
    </row>
    <row r="87" spans="1:6">
      <c r="A87" t="s">
        <v>264</v>
      </c>
      <c r="B87">
        <v>8859845000797</v>
      </c>
      <c r="C87" t="s">
        <v>265</v>
      </c>
      <c r="D87" t="s">
        <v>266</v>
      </c>
      <c r="E87" s="16">
        <v>22900</v>
      </c>
      <c r="F87" s="16">
        <v>14900</v>
      </c>
    </row>
    <row r="88" spans="1:6">
      <c r="A88" t="s">
        <v>267</v>
      </c>
      <c r="B88">
        <v>8859845000803</v>
      </c>
      <c r="C88" t="s">
        <v>268</v>
      </c>
      <c r="D88" t="s">
        <v>269</v>
      </c>
      <c r="E88" s="16">
        <v>15900</v>
      </c>
      <c r="F88" s="16">
        <v>9900</v>
      </c>
    </row>
    <row r="89" spans="1:6">
      <c r="A89" t="s">
        <v>270</v>
      </c>
      <c r="B89">
        <v>8859845002753</v>
      </c>
      <c r="C89" t="s">
        <v>271</v>
      </c>
      <c r="D89" t="s">
        <v>272</v>
      </c>
      <c r="E89" s="16">
        <v>45900</v>
      </c>
      <c r="F89" s="16">
        <v>29990</v>
      </c>
    </row>
    <row r="90" spans="1:6">
      <c r="A90" t="s">
        <v>273</v>
      </c>
      <c r="B90">
        <v>8859845000810</v>
      </c>
      <c r="C90" t="s">
        <v>274</v>
      </c>
      <c r="D90" t="s">
        <v>275</v>
      </c>
      <c r="E90" s="16">
        <v>30900</v>
      </c>
      <c r="F90" s="16">
        <v>19990</v>
      </c>
    </row>
    <row r="91" spans="1:6">
      <c r="A91" t="s">
        <v>276</v>
      </c>
      <c r="B91" t="s">
        <v>115</v>
      </c>
      <c r="C91" t="s">
        <v>277</v>
      </c>
      <c r="D91" t="s">
        <v>278</v>
      </c>
      <c r="E91" s="16">
        <v>30900</v>
      </c>
      <c r="F91" s="16">
        <v>19990</v>
      </c>
    </row>
    <row r="92" spans="1:6">
      <c r="A92" t="s">
        <v>279</v>
      </c>
      <c r="B92" t="s">
        <v>115</v>
      </c>
      <c r="C92" t="s">
        <v>280</v>
      </c>
      <c r="D92" t="s">
        <v>281</v>
      </c>
      <c r="E92" s="16">
        <v>19900</v>
      </c>
      <c r="F92" s="16">
        <v>19900</v>
      </c>
    </row>
    <row r="93" spans="1:6">
      <c r="A93" t="s">
        <v>282</v>
      </c>
      <c r="B93" t="s">
        <v>115</v>
      </c>
      <c r="C93" t="s">
        <v>283</v>
      </c>
      <c r="D93" t="s">
        <v>284</v>
      </c>
      <c r="E93" s="16">
        <v>16900</v>
      </c>
      <c r="F93" s="16">
        <v>10900</v>
      </c>
    </row>
    <row r="94" spans="1:6">
      <c r="A94" t="s">
        <v>285</v>
      </c>
      <c r="B94" t="s">
        <v>115</v>
      </c>
      <c r="C94" t="s">
        <v>286</v>
      </c>
      <c r="D94" t="s">
        <v>287</v>
      </c>
      <c r="E94" s="16">
        <v>40400</v>
      </c>
      <c r="F94" s="16">
        <v>28900</v>
      </c>
    </row>
    <row r="95" spans="1:6">
      <c r="A95" t="s">
        <v>288</v>
      </c>
      <c r="B95" t="s">
        <v>115</v>
      </c>
      <c r="C95" t="s">
        <v>289</v>
      </c>
      <c r="D95" t="s">
        <v>290</v>
      </c>
      <c r="E95" s="16">
        <v>23900</v>
      </c>
      <c r="F95" s="16">
        <v>15900</v>
      </c>
    </row>
    <row r="96" spans="1:6">
      <c r="A96" t="s">
        <v>291</v>
      </c>
      <c r="B96" t="s">
        <v>115</v>
      </c>
      <c r="C96" t="s">
        <v>292</v>
      </c>
      <c r="D96" t="s">
        <v>293</v>
      </c>
      <c r="E96" s="16">
        <v>37500</v>
      </c>
      <c r="F96" s="16">
        <v>24900</v>
      </c>
    </row>
    <row r="97" spans="1:6">
      <c r="A97" t="s">
        <v>294</v>
      </c>
      <c r="B97">
        <v>8859845000742</v>
      </c>
      <c r="C97" t="s">
        <v>295</v>
      </c>
      <c r="D97" t="s">
        <v>296</v>
      </c>
      <c r="E97" s="16">
        <v>29900</v>
      </c>
      <c r="F97" s="16">
        <v>17900</v>
      </c>
    </row>
    <row r="98" spans="1:6">
      <c r="A98" t="s">
        <v>297</v>
      </c>
      <c r="B98">
        <v>8859845000759</v>
      </c>
      <c r="C98" t="s">
        <v>298</v>
      </c>
      <c r="D98" t="s">
        <v>299</v>
      </c>
      <c r="E98" s="16">
        <v>29900</v>
      </c>
      <c r="F98" s="16">
        <v>17900</v>
      </c>
    </row>
    <row r="99" spans="1:6">
      <c r="A99" t="s">
        <v>300</v>
      </c>
      <c r="B99" t="s">
        <v>115</v>
      </c>
      <c r="C99" t="s">
        <v>301</v>
      </c>
      <c r="D99" t="s">
        <v>302</v>
      </c>
      <c r="E99" s="16">
        <v>24900</v>
      </c>
      <c r="F99" s="16">
        <v>16900</v>
      </c>
    </row>
    <row r="100" spans="1:6">
      <c r="A100" t="s">
        <v>303</v>
      </c>
      <c r="B100" t="s">
        <v>115</v>
      </c>
      <c r="C100" t="s">
        <v>304</v>
      </c>
      <c r="D100" t="s">
        <v>305</v>
      </c>
      <c r="E100" s="16">
        <v>29900</v>
      </c>
      <c r="F100" s="16">
        <v>17900</v>
      </c>
    </row>
    <row r="101" spans="1:6">
      <c r="A101" t="s">
        <v>306</v>
      </c>
      <c r="B101" t="s">
        <v>115</v>
      </c>
      <c r="C101" t="s">
        <v>307</v>
      </c>
      <c r="D101" t="s">
        <v>308</v>
      </c>
      <c r="E101" s="16">
        <v>24900</v>
      </c>
      <c r="F101" s="16">
        <v>16900</v>
      </c>
    </row>
    <row r="102" spans="1:6">
      <c r="A102" t="s">
        <v>309</v>
      </c>
      <c r="B102" t="s">
        <v>115</v>
      </c>
      <c r="C102" t="s">
        <v>310</v>
      </c>
      <c r="D102" t="s">
        <v>311</v>
      </c>
      <c r="E102" s="16">
        <v>24900</v>
      </c>
      <c r="F102" s="16">
        <v>16900</v>
      </c>
    </row>
    <row r="103" spans="1:6">
      <c r="A103" t="s">
        <v>312</v>
      </c>
      <c r="B103">
        <v>8859845000766</v>
      </c>
      <c r="C103" t="s">
        <v>313</v>
      </c>
      <c r="D103" t="s">
        <v>314</v>
      </c>
      <c r="E103" s="16">
        <v>38500</v>
      </c>
      <c r="F103" s="16">
        <v>24900</v>
      </c>
    </row>
    <row r="104" spans="1:6">
      <c r="A104" t="s">
        <v>315</v>
      </c>
      <c r="B104">
        <v>8859845000773</v>
      </c>
      <c r="C104" t="s">
        <v>316</v>
      </c>
      <c r="D104" t="s">
        <v>317</v>
      </c>
      <c r="E104" s="16">
        <v>38500</v>
      </c>
      <c r="F104" s="16">
        <v>24900</v>
      </c>
    </row>
    <row r="105" spans="1:6">
      <c r="A105" t="s">
        <v>318</v>
      </c>
      <c r="B105">
        <v>8859845000889</v>
      </c>
      <c r="C105" t="s">
        <v>319</v>
      </c>
      <c r="D105" t="s">
        <v>319</v>
      </c>
      <c r="E105" s="16">
        <v>8900</v>
      </c>
      <c r="F105" s="16">
        <v>3990</v>
      </c>
    </row>
    <row r="106" spans="1:6">
      <c r="A106" t="s">
        <v>320</v>
      </c>
      <c r="B106">
        <v>8859845000872</v>
      </c>
      <c r="C106" t="s">
        <v>321</v>
      </c>
      <c r="D106" t="s">
        <v>321</v>
      </c>
      <c r="E106" s="16">
        <v>8700</v>
      </c>
      <c r="F106" s="16">
        <v>3590</v>
      </c>
    </row>
    <row r="107" spans="1:6">
      <c r="A107" t="s">
        <v>322</v>
      </c>
      <c r="B107">
        <v>8859845000865</v>
      </c>
      <c r="C107" t="s">
        <v>323</v>
      </c>
      <c r="D107" t="s">
        <v>323</v>
      </c>
      <c r="E107" s="16">
        <v>6900</v>
      </c>
      <c r="F107" s="16">
        <v>2990</v>
      </c>
    </row>
    <row r="108" spans="1:6">
      <c r="A108" t="s">
        <v>324</v>
      </c>
      <c r="B108">
        <v>8859845000094</v>
      </c>
      <c r="C108" t="s">
        <v>325</v>
      </c>
      <c r="D108" t="s">
        <v>326</v>
      </c>
      <c r="E108" s="16">
        <v>14900</v>
      </c>
      <c r="F108" s="16">
        <v>8900</v>
      </c>
    </row>
    <row r="109" spans="1:6">
      <c r="A109" t="s">
        <v>327</v>
      </c>
      <c r="B109">
        <v>8859845000100</v>
      </c>
      <c r="C109" t="s">
        <v>328</v>
      </c>
      <c r="D109" t="s">
        <v>329</v>
      </c>
      <c r="E109" s="16">
        <v>15900</v>
      </c>
      <c r="F109" s="16">
        <v>9900</v>
      </c>
    </row>
    <row r="110" spans="1:6">
      <c r="A110" t="s">
        <v>330</v>
      </c>
      <c r="B110">
        <v>8859845000117</v>
      </c>
      <c r="C110" t="s">
        <v>331</v>
      </c>
      <c r="D110" t="s">
        <v>332</v>
      </c>
      <c r="E110" s="16">
        <v>15900</v>
      </c>
      <c r="F110" s="16">
        <v>9900</v>
      </c>
    </row>
    <row r="111" spans="1:6">
      <c r="A111" t="s">
        <v>333</v>
      </c>
      <c r="B111">
        <v>8859845001381</v>
      </c>
      <c r="C111" t="s">
        <v>334</v>
      </c>
      <c r="D111" t="s">
        <v>335</v>
      </c>
      <c r="E111" s="16">
        <v>17900</v>
      </c>
      <c r="F111" s="16">
        <v>10900</v>
      </c>
    </row>
    <row r="112" spans="1:6">
      <c r="A112" t="s">
        <v>336</v>
      </c>
      <c r="B112">
        <v>8859845001398</v>
      </c>
      <c r="C112" t="s">
        <v>337</v>
      </c>
      <c r="D112" t="s">
        <v>338</v>
      </c>
      <c r="E112" s="16">
        <v>16900</v>
      </c>
      <c r="F112" s="16">
        <v>9900</v>
      </c>
    </row>
    <row r="113" spans="1:6">
      <c r="A113" t="s">
        <v>339</v>
      </c>
      <c r="B113">
        <v>8859845002760</v>
      </c>
      <c r="C113" t="s">
        <v>340</v>
      </c>
      <c r="D113" t="s">
        <v>341</v>
      </c>
      <c r="E113" s="16">
        <v>7490</v>
      </c>
      <c r="F113" s="16">
        <v>4490</v>
      </c>
    </row>
    <row r="114" spans="1:6">
      <c r="A114" t="s">
        <v>342</v>
      </c>
      <c r="B114">
        <v>8859845002777</v>
      </c>
      <c r="C114" t="s">
        <v>343</v>
      </c>
      <c r="D114" t="s">
        <v>344</v>
      </c>
      <c r="E114" s="16">
        <v>7990</v>
      </c>
      <c r="F114" s="16">
        <v>4990</v>
      </c>
    </row>
    <row r="115" spans="1:6">
      <c r="A115" t="s">
        <v>345</v>
      </c>
      <c r="B115">
        <v>8859845002784</v>
      </c>
      <c r="C115" t="s">
        <v>346</v>
      </c>
      <c r="D115" t="s">
        <v>347</v>
      </c>
      <c r="E115" s="16">
        <v>8900</v>
      </c>
      <c r="F115" s="16">
        <v>4490</v>
      </c>
    </row>
    <row r="116" spans="1:6">
      <c r="A116" t="s">
        <v>348</v>
      </c>
      <c r="B116">
        <v>8859845002791</v>
      </c>
      <c r="C116" t="s">
        <v>349</v>
      </c>
      <c r="D116" t="s">
        <v>350</v>
      </c>
      <c r="E116" s="16">
        <v>7990</v>
      </c>
      <c r="F116" s="16">
        <v>4990</v>
      </c>
    </row>
    <row r="117" spans="1:6">
      <c r="A117" t="s">
        <v>351</v>
      </c>
      <c r="B117">
        <v>8859845002920</v>
      </c>
      <c r="C117" t="s">
        <v>352</v>
      </c>
      <c r="D117" t="s">
        <v>353</v>
      </c>
      <c r="E117" s="16">
        <v>22900</v>
      </c>
      <c r="F117" s="16">
        <v>14900</v>
      </c>
    </row>
    <row r="118" spans="1:6">
      <c r="A118" t="s">
        <v>354</v>
      </c>
      <c r="B118">
        <v>8859845002937</v>
      </c>
      <c r="C118" t="s">
        <v>355</v>
      </c>
      <c r="D118" t="s">
        <v>356</v>
      </c>
      <c r="E118" s="16">
        <v>8490</v>
      </c>
      <c r="F118" s="16">
        <v>4990</v>
      </c>
    </row>
    <row r="119" spans="1:6">
      <c r="A119" t="s">
        <v>357</v>
      </c>
      <c r="B119">
        <v>8859845002944</v>
      </c>
      <c r="C119" t="s">
        <v>358</v>
      </c>
      <c r="D119" t="s">
        <v>359</v>
      </c>
      <c r="E119" s="16">
        <v>8490</v>
      </c>
      <c r="F119" s="16">
        <v>5990</v>
      </c>
    </row>
    <row r="120" spans="1:6">
      <c r="A120" t="s">
        <v>360</v>
      </c>
      <c r="B120">
        <v>8859845002951</v>
      </c>
      <c r="C120" t="s">
        <v>361</v>
      </c>
      <c r="D120" t="s">
        <v>361</v>
      </c>
      <c r="E120" s="16">
        <v>6690</v>
      </c>
      <c r="F120" s="16">
        <v>4250</v>
      </c>
    </row>
    <row r="121" spans="1:6">
      <c r="A121" t="s">
        <v>362</v>
      </c>
      <c r="B121">
        <v>8859845000841</v>
      </c>
      <c r="C121" t="s">
        <v>363</v>
      </c>
      <c r="D121" t="s">
        <v>364</v>
      </c>
      <c r="E121" s="16">
        <v>20600</v>
      </c>
      <c r="F121" s="16">
        <v>13400</v>
      </c>
    </row>
    <row r="122" spans="1:6">
      <c r="A122" t="s">
        <v>365</v>
      </c>
      <c r="B122">
        <v>8859845000827</v>
      </c>
      <c r="C122" t="s">
        <v>366</v>
      </c>
      <c r="D122" t="s">
        <v>367</v>
      </c>
      <c r="E122" s="16">
        <v>21900</v>
      </c>
      <c r="F122" s="16">
        <v>15400</v>
      </c>
    </row>
    <row r="123" spans="1:6">
      <c r="A123" t="s">
        <v>368</v>
      </c>
      <c r="B123">
        <v>8859845000834</v>
      </c>
      <c r="C123" t="s">
        <v>369</v>
      </c>
      <c r="D123" t="s">
        <v>370</v>
      </c>
      <c r="E123" s="16">
        <v>22900</v>
      </c>
      <c r="F123" s="16">
        <v>14900</v>
      </c>
    </row>
    <row r="124" spans="1:6">
      <c r="A124" t="s">
        <v>371</v>
      </c>
      <c r="B124">
        <v>8859845000902</v>
      </c>
      <c r="C124" t="s">
        <v>372</v>
      </c>
      <c r="D124" t="s">
        <v>373</v>
      </c>
      <c r="E124" s="16">
        <v>12900</v>
      </c>
      <c r="F124" s="16">
        <v>9900</v>
      </c>
    </row>
    <row r="125" spans="1:6">
      <c r="A125" t="s">
        <v>374</v>
      </c>
      <c r="B125">
        <v>8850001002464</v>
      </c>
      <c r="C125" t="s">
        <v>375</v>
      </c>
      <c r="D125" t="s">
        <v>376</v>
      </c>
      <c r="F125" s="16">
        <v>14400</v>
      </c>
    </row>
    <row r="126" spans="1:6">
      <c r="A126" t="s">
        <v>377</v>
      </c>
      <c r="B126">
        <v>8859845000124</v>
      </c>
      <c r="C126" t="s">
        <v>378</v>
      </c>
      <c r="D126" t="s">
        <v>379</v>
      </c>
      <c r="E126" s="16">
        <v>14900</v>
      </c>
      <c r="F126" s="16">
        <v>9900</v>
      </c>
    </row>
    <row r="127" spans="1:6">
      <c r="A127" t="s">
        <v>380</v>
      </c>
      <c r="B127">
        <v>8859845000131</v>
      </c>
      <c r="C127" t="s">
        <v>381</v>
      </c>
      <c r="D127" t="s">
        <v>382</v>
      </c>
      <c r="E127" s="16">
        <v>14900</v>
      </c>
      <c r="F127" s="16">
        <v>9900</v>
      </c>
    </row>
    <row r="128" spans="1:6">
      <c r="A128" t="s">
        <v>383</v>
      </c>
      <c r="B128">
        <v>8859845000858</v>
      </c>
      <c r="C128" t="s">
        <v>384</v>
      </c>
      <c r="D128" t="s">
        <v>385</v>
      </c>
      <c r="E128" s="16">
        <v>20600</v>
      </c>
      <c r="F128" s="16">
        <v>13400</v>
      </c>
    </row>
    <row r="129" spans="1:6">
      <c r="A129" t="s">
        <v>386</v>
      </c>
      <c r="B129">
        <v>8859845001374</v>
      </c>
      <c r="C129" t="s">
        <v>387</v>
      </c>
      <c r="D129" t="s">
        <v>388</v>
      </c>
      <c r="E129" s="16">
        <v>14900</v>
      </c>
      <c r="F129" s="16">
        <v>9900</v>
      </c>
    </row>
    <row r="130" spans="1:6">
      <c r="A130" t="s">
        <v>389</v>
      </c>
      <c r="B130">
        <v>8859845001404</v>
      </c>
      <c r="C130" t="s">
        <v>390</v>
      </c>
      <c r="D130" t="s">
        <v>391</v>
      </c>
      <c r="E130" s="16">
        <v>22900</v>
      </c>
      <c r="F130" s="16">
        <v>14900</v>
      </c>
    </row>
    <row r="131" spans="1:6">
      <c r="A131" t="s">
        <v>392</v>
      </c>
      <c r="B131">
        <v>8859845001411</v>
      </c>
      <c r="C131" t="s">
        <v>393</v>
      </c>
      <c r="D131" t="s">
        <v>394</v>
      </c>
      <c r="E131" s="16">
        <v>22900</v>
      </c>
      <c r="F131" s="16">
        <v>14900</v>
      </c>
    </row>
    <row r="132" spans="1:6">
      <c r="A132" t="s">
        <v>395</v>
      </c>
      <c r="B132">
        <v>8859845001428</v>
      </c>
      <c r="C132" t="s">
        <v>396</v>
      </c>
      <c r="D132" t="s">
        <v>397</v>
      </c>
      <c r="E132" s="16">
        <v>22900</v>
      </c>
      <c r="F132" s="16">
        <v>14900</v>
      </c>
    </row>
    <row r="133" spans="1:6">
      <c r="A133" t="s">
        <v>398</v>
      </c>
      <c r="B133">
        <v>8859845001435</v>
      </c>
      <c r="C133" t="s">
        <v>399</v>
      </c>
      <c r="D133" t="s">
        <v>400</v>
      </c>
      <c r="E133" s="16">
        <v>22900</v>
      </c>
      <c r="F133" s="16">
        <v>14900</v>
      </c>
    </row>
    <row r="134" spans="1:6">
      <c r="A134" t="s">
        <v>401</v>
      </c>
      <c r="B134">
        <v>8859845002845</v>
      </c>
      <c r="C134" t="s">
        <v>402</v>
      </c>
      <c r="D134" t="s">
        <v>403</v>
      </c>
      <c r="E134" s="16">
        <v>22900</v>
      </c>
      <c r="F134" s="16">
        <v>14900</v>
      </c>
    </row>
    <row r="135" spans="1:6">
      <c r="A135" t="s">
        <v>404</v>
      </c>
      <c r="B135">
        <v>8859845001442</v>
      </c>
      <c r="C135" t="s">
        <v>405</v>
      </c>
      <c r="D135" t="s">
        <v>406</v>
      </c>
      <c r="E135" s="16">
        <v>25900</v>
      </c>
      <c r="F135" s="16">
        <v>16900</v>
      </c>
    </row>
    <row r="136" spans="1:6">
      <c r="A136" t="s">
        <v>407</v>
      </c>
      <c r="B136">
        <v>8859845001459</v>
      </c>
      <c r="C136" t="s">
        <v>408</v>
      </c>
      <c r="D136" t="s">
        <v>409</v>
      </c>
      <c r="E136" s="16">
        <v>25900</v>
      </c>
      <c r="F136" s="16">
        <v>16900</v>
      </c>
    </row>
    <row r="137" spans="1:6">
      <c r="A137" t="s">
        <v>410</v>
      </c>
      <c r="B137">
        <v>8859845001466</v>
      </c>
      <c r="C137" t="s">
        <v>411</v>
      </c>
      <c r="D137" t="s">
        <v>412</v>
      </c>
      <c r="E137" s="16">
        <v>25900</v>
      </c>
      <c r="F137" s="16">
        <v>16900</v>
      </c>
    </row>
    <row r="138" spans="1:6">
      <c r="A138" t="s">
        <v>413</v>
      </c>
      <c r="B138">
        <v>8859845001473</v>
      </c>
      <c r="C138" t="s">
        <v>414</v>
      </c>
      <c r="D138" t="s">
        <v>415</v>
      </c>
      <c r="E138" s="16">
        <v>25900</v>
      </c>
      <c r="F138" s="16">
        <v>16900</v>
      </c>
    </row>
    <row r="139" spans="1:6">
      <c r="A139" t="s">
        <v>416</v>
      </c>
      <c r="B139">
        <v>8859845002852</v>
      </c>
      <c r="C139" t="s">
        <v>417</v>
      </c>
      <c r="D139" t="s">
        <v>418</v>
      </c>
      <c r="E139" s="16">
        <v>25900</v>
      </c>
      <c r="F139" s="16">
        <v>16900</v>
      </c>
    </row>
    <row r="140" spans="1:6">
      <c r="A140" t="s">
        <v>419</v>
      </c>
      <c r="B140">
        <v>8859845001480</v>
      </c>
      <c r="C140" t="s">
        <v>420</v>
      </c>
      <c r="D140" t="s">
        <v>421</v>
      </c>
      <c r="E140" s="16">
        <v>30700</v>
      </c>
      <c r="F140" s="16">
        <v>19990</v>
      </c>
    </row>
    <row r="141" spans="1:6">
      <c r="A141" t="s">
        <v>422</v>
      </c>
      <c r="B141">
        <v>8859845001497</v>
      </c>
      <c r="C141" t="s">
        <v>423</v>
      </c>
      <c r="D141" t="s">
        <v>424</v>
      </c>
      <c r="E141" s="16">
        <v>30700</v>
      </c>
      <c r="F141" s="16">
        <v>19990</v>
      </c>
    </row>
    <row r="142" spans="1:6">
      <c r="A142" t="s">
        <v>425</v>
      </c>
      <c r="B142">
        <v>8859845001503</v>
      </c>
      <c r="C142" t="s">
        <v>426</v>
      </c>
      <c r="D142" t="s">
        <v>427</v>
      </c>
      <c r="E142" s="16">
        <v>30700</v>
      </c>
      <c r="F142" s="16">
        <v>19990</v>
      </c>
    </row>
    <row r="143" spans="1:6">
      <c r="A143" t="s">
        <v>428</v>
      </c>
      <c r="B143">
        <v>8859845001510</v>
      </c>
      <c r="C143" t="s">
        <v>429</v>
      </c>
      <c r="D143" t="s">
        <v>430</v>
      </c>
      <c r="E143" s="16">
        <v>30700</v>
      </c>
      <c r="F143" s="16">
        <v>19990</v>
      </c>
    </row>
    <row r="144" spans="1:6">
      <c r="A144" t="s">
        <v>431</v>
      </c>
      <c r="B144">
        <v>8859845001527</v>
      </c>
      <c r="C144" t="s">
        <v>432</v>
      </c>
      <c r="D144" t="s">
        <v>433</v>
      </c>
      <c r="E144" s="16">
        <v>32290</v>
      </c>
      <c r="F144" s="16">
        <v>20990</v>
      </c>
    </row>
    <row r="145" spans="1:6">
      <c r="A145" t="s">
        <v>434</v>
      </c>
      <c r="B145">
        <v>8859845001534</v>
      </c>
      <c r="C145" t="s">
        <v>435</v>
      </c>
      <c r="D145" t="s">
        <v>436</v>
      </c>
      <c r="E145" s="16">
        <v>32290</v>
      </c>
      <c r="F145" s="16">
        <v>20990</v>
      </c>
    </row>
    <row r="146" spans="1:6">
      <c r="A146" t="s">
        <v>437</v>
      </c>
      <c r="B146">
        <v>8859845001541</v>
      </c>
      <c r="C146" t="s">
        <v>438</v>
      </c>
      <c r="D146" t="s">
        <v>439</v>
      </c>
      <c r="E146" s="16">
        <v>32290</v>
      </c>
      <c r="F146" s="16">
        <v>20990</v>
      </c>
    </row>
    <row r="147" spans="1:6">
      <c r="A147" t="s">
        <v>440</v>
      </c>
      <c r="B147">
        <v>8859845001558</v>
      </c>
      <c r="C147" t="s">
        <v>441</v>
      </c>
      <c r="D147" t="s">
        <v>442</v>
      </c>
      <c r="E147" s="16">
        <v>32290</v>
      </c>
      <c r="F147" s="16">
        <v>20990</v>
      </c>
    </row>
    <row r="148" spans="1:6">
      <c r="A148" t="s">
        <v>443</v>
      </c>
      <c r="B148">
        <v>8859845002869</v>
      </c>
      <c r="C148" t="s">
        <v>444</v>
      </c>
      <c r="D148" t="s">
        <v>445</v>
      </c>
      <c r="E148" s="17">
        <v>12900</v>
      </c>
      <c r="F148" s="16">
        <v>6900</v>
      </c>
    </row>
    <row r="149" spans="1:6">
      <c r="A149" t="s">
        <v>446</v>
      </c>
      <c r="B149">
        <v>8859845002876</v>
      </c>
      <c r="C149" t="s">
        <v>447</v>
      </c>
      <c r="D149" t="s">
        <v>448</v>
      </c>
      <c r="E149" s="17">
        <v>12900</v>
      </c>
      <c r="F149" s="16">
        <v>6900</v>
      </c>
    </row>
    <row r="150" spans="1:6">
      <c r="A150" t="s">
        <v>449</v>
      </c>
      <c r="B150">
        <v>8859845002883</v>
      </c>
      <c r="C150" t="s">
        <v>450</v>
      </c>
      <c r="D150" t="s">
        <v>451</v>
      </c>
      <c r="E150" s="17">
        <v>12900</v>
      </c>
      <c r="F150" s="16">
        <v>6900</v>
      </c>
    </row>
    <row r="151" spans="1:6">
      <c r="A151" t="s">
        <v>452</v>
      </c>
      <c r="B151">
        <v>8859845002890</v>
      </c>
      <c r="C151" t="s">
        <v>453</v>
      </c>
      <c r="D151" t="s">
        <v>454</v>
      </c>
      <c r="E151" s="17">
        <v>12900</v>
      </c>
      <c r="F151" s="16">
        <v>6900</v>
      </c>
    </row>
    <row r="152" spans="1:6">
      <c r="A152" t="s">
        <v>455</v>
      </c>
      <c r="B152">
        <v>8859845002906</v>
      </c>
      <c r="C152" t="s">
        <v>456</v>
      </c>
      <c r="D152" t="s">
        <v>457</v>
      </c>
      <c r="E152" s="17">
        <v>6400</v>
      </c>
      <c r="F152" s="16">
        <v>3900</v>
      </c>
    </row>
    <row r="153" spans="1:6">
      <c r="A153" t="s">
        <v>458</v>
      </c>
      <c r="B153">
        <v>8859845002913</v>
      </c>
      <c r="C153" t="s">
        <v>459</v>
      </c>
      <c r="D153" t="s">
        <v>460</v>
      </c>
      <c r="E153" s="17">
        <v>6400</v>
      </c>
      <c r="F153" s="16">
        <v>3900</v>
      </c>
    </row>
    <row r="154" spans="1:6">
      <c r="C154" t="s">
        <v>461</v>
      </c>
      <c r="D154" t="s">
        <v>461</v>
      </c>
      <c r="E154">
        <v>19900</v>
      </c>
      <c r="F154">
        <v>19900</v>
      </c>
    </row>
    <row r="155" spans="1:6">
      <c r="C155" t="s">
        <v>462</v>
      </c>
      <c r="D155" t="s">
        <v>462</v>
      </c>
      <c r="E155">
        <v>20900</v>
      </c>
      <c r="F155">
        <v>20900</v>
      </c>
    </row>
    <row r="156" spans="1:6">
      <c r="C156" t="s">
        <v>463</v>
      </c>
      <c r="D156" t="s">
        <v>463</v>
      </c>
      <c r="E156">
        <v>21900</v>
      </c>
      <c r="F156">
        <v>21900</v>
      </c>
    </row>
    <row r="157" spans="1:6">
      <c r="C157" t="s">
        <v>464</v>
      </c>
      <c r="D157" t="s">
        <v>464</v>
      </c>
      <c r="E157">
        <v>22900</v>
      </c>
      <c r="F157">
        <v>22900</v>
      </c>
    </row>
    <row r="158" spans="1:6">
      <c r="C158" t="s">
        <v>465</v>
      </c>
      <c r="D158" t="s">
        <v>465</v>
      </c>
      <c r="E158">
        <v>24400</v>
      </c>
      <c r="F158">
        <v>24400</v>
      </c>
    </row>
    <row r="159" spans="1:6">
      <c r="C159" t="s">
        <v>466</v>
      </c>
      <c r="D159" t="s">
        <v>466</v>
      </c>
      <c r="E159">
        <v>25400</v>
      </c>
      <c r="F159">
        <v>25400</v>
      </c>
    </row>
    <row r="160" spans="1:6">
      <c r="C160" t="s">
        <v>467</v>
      </c>
      <c r="D160" t="s">
        <v>467</v>
      </c>
      <c r="E160">
        <v>26400</v>
      </c>
      <c r="F160">
        <v>26400</v>
      </c>
    </row>
    <row r="161" spans="1:6">
      <c r="C161" t="s">
        <v>468</v>
      </c>
      <c r="D161" t="s">
        <v>468</v>
      </c>
      <c r="E161">
        <v>27400</v>
      </c>
      <c r="F161">
        <v>27400</v>
      </c>
    </row>
    <row r="162" spans="1:6">
      <c r="C162" t="s">
        <v>469</v>
      </c>
      <c r="D162" t="s">
        <v>469</v>
      </c>
      <c r="E162">
        <v>24900</v>
      </c>
      <c r="F162">
        <v>24900</v>
      </c>
    </row>
    <row r="163" spans="1:6">
      <c r="C163" t="s">
        <v>470</v>
      </c>
      <c r="D163" t="s">
        <v>470</v>
      </c>
      <c r="E163">
        <v>25900</v>
      </c>
      <c r="F163">
        <v>25900</v>
      </c>
    </row>
    <row r="164" spans="1:6">
      <c r="C164" t="s">
        <v>471</v>
      </c>
      <c r="D164" t="s">
        <v>471</v>
      </c>
      <c r="E164">
        <v>26900</v>
      </c>
      <c r="F164">
        <v>26900</v>
      </c>
    </row>
    <row r="165" spans="1:6">
      <c r="C165" t="s">
        <v>472</v>
      </c>
      <c r="D165" t="s">
        <v>472</v>
      </c>
      <c r="E165">
        <v>27900</v>
      </c>
      <c r="F165">
        <v>27900</v>
      </c>
    </row>
    <row r="166" spans="1:6">
      <c r="C166" t="s">
        <v>473</v>
      </c>
      <c r="D166" t="s">
        <v>473</v>
      </c>
      <c r="E166">
        <v>24400</v>
      </c>
      <c r="F166">
        <v>24400</v>
      </c>
    </row>
    <row r="167" spans="1:6">
      <c r="C167" t="s">
        <v>474</v>
      </c>
      <c r="D167" t="s">
        <v>474</v>
      </c>
      <c r="E167">
        <v>25400</v>
      </c>
      <c r="F167">
        <v>25400</v>
      </c>
    </row>
    <row r="168" spans="1:6">
      <c r="C168" t="s">
        <v>475</v>
      </c>
      <c r="D168" t="s">
        <v>475</v>
      </c>
      <c r="E168">
        <v>26400</v>
      </c>
      <c r="F168">
        <v>26400</v>
      </c>
    </row>
    <row r="169" spans="1:6">
      <c r="C169" t="s">
        <v>476</v>
      </c>
      <c r="D169" t="s">
        <v>476</v>
      </c>
      <c r="E169">
        <v>27400</v>
      </c>
      <c r="F169">
        <v>27400</v>
      </c>
    </row>
    <row r="170" spans="1:6">
      <c r="A170" t="s">
        <v>477</v>
      </c>
      <c r="B170">
        <v>8859845000636</v>
      </c>
      <c r="C170" t="s">
        <v>478</v>
      </c>
      <c r="D170" t="s">
        <v>479</v>
      </c>
      <c r="E170" s="16">
        <v>3290</v>
      </c>
      <c r="F170" s="16">
        <v>2390</v>
      </c>
    </row>
    <row r="171" spans="1:6">
      <c r="A171" t="s">
        <v>480</v>
      </c>
      <c r="B171">
        <v>8859845000643</v>
      </c>
      <c r="C171" t="s">
        <v>481</v>
      </c>
      <c r="D171" t="s">
        <v>482</v>
      </c>
      <c r="F171">
        <v>390</v>
      </c>
    </row>
    <row r="172" spans="1:6">
      <c r="A172" t="s">
        <v>483</v>
      </c>
      <c r="B172">
        <v>8859845000681</v>
      </c>
      <c r="C172" t="s">
        <v>484</v>
      </c>
      <c r="D172" t="s">
        <v>485</v>
      </c>
      <c r="E172" s="16">
        <v>3190</v>
      </c>
      <c r="F172" s="16">
        <v>1990</v>
      </c>
    </row>
    <row r="173" spans="1:6">
      <c r="A173" t="s">
        <v>486</v>
      </c>
      <c r="B173">
        <v>8859845000698</v>
      </c>
      <c r="C173" t="s">
        <v>487</v>
      </c>
      <c r="D173" t="s">
        <v>488</v>
      </c>
      <c r="E173" s="16">
        <v>3190</v>
      </c>
      <c r="F173" s="16">
        <v>1990</v>
      </c>
    </row>
    <row r="174" spans="1:6">
      <c r="A174" t="s">
        <v>489</v>
      </c>
      <c r="B174">
        <v>8859845000704</v>
      </c>
      <c r="C174" t="s">
        <v>490</v>
      </c>
      <c r="D174" t="s">
        <v>491</v>
      </c>
      <c r="E174" s="16">
        <v>5490</v>
      </c>
      <c r="F174" s="16">
        <v>3790</v>
      </c>
    </row>
    <row r="175" spans="1:6">
      <c r="A175" t="s">
        <v>492</v>
      </c>
      <c r="B175">
        <v>8859845000063</v>
      </c>
      <c r="C175" t="s">
        <v>493</v>
      </c>
      <c r="D175" t="s">
        <v>494</v>
      </c>
      <c r="E175" s="16">
        <v>1690</v>
      </c>
      <c r="F175">
        <v>999</v>
      </c>
    </row>
    <row r="176" spans="1:6">
      <c r="A176" t="s">
        <v>495</v>
      </c>
      <c r="B176">
        <v>8859845000940</v>
      </c>
      <c r="C176" t="s">
        <v>496</v>
      </c>
      <c r="D176" t="s">
        <v>497</v>
      </c>
      <c r="E176" s="16">
        <v>3650</v>
      </c>
      <c r="F176" s="16">
        <v>2190</v>
      </c>
    </row>
    <row r="177" spans="1:6">
      <c r="A177" t="s">
        <v>498</v>
      </c>
      <c r="B177">
        <v>8859845000957</v>
      </c>
      <c r="C177" t="s">
        <v>499</v>
      </c>
      <c r="D177" t="s">
        <v>500</v>
      </c>
      <c r="E177" s="16">
        <v>3650</v>
      </c>
      <c r="F177" s="16">
        <v>2190</v>
      </c>
    </row>
    <row r="178" spans="1:6">
      <c r="A178" t="s">
        <v>501</v>
      </c>
      <c r="B178">
        <v>8859845001732</v>
      </c>
      <c r="C178" t="s">
        <v>502</v>
      </c>
      <c r="D178" t="s">
        <v>503</v>
      </c>
      <c r="E178">
        <v>990</v>
      </c>
      <c r="F178">
        <v>590</v>
      </c>
    </row>
    <row r="179" spans="1:6">
      <c r="A179" t="s">
        <v>504</v>
      </c>
      <c r="B179">
        <v>8859845001749</v>
      </c>
      <c r="C179" t="s">
        <v>505</v>
      </c>
      <c r="D179" t="s">
        <v>506</v>
      </c>
      <c r="E179">
        <v>590</v>
      </c>
      <c r="F179">
        <v>390</v>
      </c>
    </row>
    <row r="180" spans="1:6">
      <c r="A180" t="s">
        <v>507</v>
      </c>
      <c r="B180">
        <v>8859845002968</v>
      </c>
      <c r="C180" t="s">
        <v>508</v>
      </c>
      <c r="D180" t="s">
        <v>509</v>
      </c>
      <c r="E180" s="16">
        <v>1390</v>
      </c>
      <c r="F180">
        <v>890</v>
      </c>
    </row>
    <row r="181" spans="1:6">
      <c r="A181" t="s">
        <v>510</v>
      </c>
      <c r="B181">
        <v>8859845003002</v>
      </c>
      <c r="C181" t="s">
        <v>511</v>
      </c>
      <c r="D181" t="s">
        <v>512</v>
      </c>
      <c r="E181" s="16">
        <v>1590</v>
      </c>
      <c r="F181">
        <v>990</v>
      </c>
    </row>
    <row r="182" spans="1:6">
      <c r="A182" t="s">
        <v>629</v>
      </c>
      <c r="B182">
        <v>8859845003194</v>
      </c>
      <c r="C182" t="s">
        <v>630</v>
      </c>
      <c r="D182" s="16" t="s">
        <v>618</v>
      </c>
      <c r="E182" s="16">
        <v>6900</v>
      </c>
      <c r="F182" s="16">
        <v>3990</v>
      </c>
    </row>
    <row r="183" spans="1:6">
      <c r="A183" t="s">
        <v>631</v>
      </c>
      <c r="B183">
        <v>8859845003200</v>
      </c>
      <c r="C183" t="s">
        <v>632</v>
      </c>
      <c r="D183" s="16" t="s">
        <v>619</v>
      </c>
      <c r="E183" s="16">
        <v>7900</v>
      </c>
      <c r="F183" s="16">
        <v>4990</v>
      </c>
    </row>
    <row r="184" spans="1:6">
      <c r="A184" t="s">
        <v>633</v>
      </c>
      <c r="B184">
        <v>8859845003217</v>
      </c>
      <c r="C184" t="s">
        <v>634</v>
      </c>
      <c r="D184" s="16" t="s">
        <v>620</v>
      </c>
      <c r="E184" s="16">
        <v>8900</v>
      </c>
      <c r="F184" s="16">
        <v>5490</v>
      </c>
    </row>
    <row r="185" spans="1:6">
      <c r="A185" t="s">
        <v>635</v>
      </c>
      <c r="B185">
        <v>8859845003224</v>
      </c>
      <c r="C185" t="s">
        <v>636</v>
      </c>
      <c r="D185" s="16" t="s">
        <v>621</v>
      </c>
      <c r="E185">
        <v>1390</v>
      </c>
      <c r="F185">
        <v>890</v>
      </c>
    </row>
    <row r="186" spans="1:6">
      <c r="A186" t="s">
        <v>637</v>
      </c>
      <c r="B186">
        <v>8859845003231</v>
      </c>
      <c r="C186" t="s">
        <v>638</v>
      </c>
      <c r="D186" s="16" t="s">
        <v>622</v>
      </c>
      <c r="E186">
        <v>1590</v>
      </c>
      <c r="F186">
        <v>990</v>
      </c>
    </row>
    <row r="187" spans="1:6">
      <c r="A187" t="s">
        <v>639</v>
      </c>
      <c r="B187">
        <v>8859845003248</v>
      </c>
      <c r="C187" t="s">
        <v>640</v>
      </c>
      <c r="D187" s="16" t="s">
        <v>623</v>
      </c>
      <c r="E187">
        <v>1690</v>
      </c>
      <c r="F187" s="16">
        <v>1090</v>
      </c>
    </row>
    <row r="188" spans="1:6">
      <c r="A188" t="s">
        <v>641</v>
      </c>
      <c r="B188">
        <v>8859845002975</v>
      </c>
      <c r="C188" t="s">
        <v>642</v>
      </c>
      <c r="D188" s="16" t="s">
        <v>624</v>
      </c>
      <c r="E188" s="16">
        <v>1890</v>
      </c>
      <c r="F188" s="16">
        <v>1190</v>
      </c>
    </row>
    <row r="189" spans="1:6">
      <c r="A189" t="s">
        <v>643</v>
      </c>
      <c r="B189">
        <v>8859845002982</v>
      </c>
      <c r="C189" t="s">
        <v>644</v>
      </c>
      <c r="D189" t="s">
        <v>625</v>
      </c>
      <c r="E189" s="16">
        <v>2690</v>
      </c>
      <c r="F189" s="16">
        <v>1690</v>
      </c>
    </row>
    <row r="190" spans="1:6">
      <c r="A190" t="s">
        <v>513</v>
      </c>
      <c r="B190">
        <v>8859845000650</v>
      </c>
      <c r="C190" t="s">
        <v>514</v>
      </c>
      <c r="D190" t="s">
        <v>515</v>
      </c>
      <c r="E190" s="16">
        <v>34900</v>
      </c>
      <c r="F190" s="16">
        <v>23900</v>
      </c>
    </row>
    <row r="191" spans="1:6">
      <c r="A191" t="s">
        <v>516</v>
      </c>
      <c r="B191">
        <v>8859845000667</v>
      </c>
      <c r="C191" t="s">
        <v>517</v>
      </c>
      <c r="D191" t="s">
        <v>518</v>
      </c>
      <c r="E191" s="16">
        <v>37000</v>
      </c>
      <c r="F191" s="16">
        <v>25900</v>
      </c>
    </row>
    <row r="192" spans="1:6">
      <c r="A192" t="s">
        <v>519</v>
      </c>
      <c r="B192">
        <v>8859845000674</v>
      </c>
      <c r="C192" t="s">
        <v>520</v>
      </c>
      <c r="D192" t="s">
        <v>521</v>
      </c>
      <c r="E192" s="16">
        <v>42900</v>
      </c>
      <c r="F192" s="16">
        <v>29900</v>
      </c>
    </row>
    <row r="193" spans="1:6">
      <c r="A193" t="s">
        <v>522</v>
      </c>
      <c r="B193">
        <v>8859845000711</v>
      </c>
      <c r="C193" t="s">
        <v>523</v>
      </c>
      <c r="D193" t="s">
        <v>524</v>
      </c>
      <c r="E193" s="16">
        <v>36500</v>
      </c>
      <c r="F193" s="16">
        <v>21900</v>
      </c>
    </row>
    <row r="194" spans="1:6">
      <c r="A194" t="s">
        <v>525</v>
      </c>
      <c r="B194">
        <v>8859845000728</v>
      </c>
      <c r="C194" t="s">
        <v>526</v>
      </c>
      <c r="D194" t="s">
        <v>527</v>
      </c>
      <c r="E194" s="16">
        <v>46500</v>
      </c>
      <c r="F194" s="16">
        <v>27900</v>
      </c>
    </row>
    <row r="195" spans="1:6">
      <c r="A195" t="s">
        <v>528</v>
      </c>
      <c r="B195">
        <v>8859845000735</v>
      </c>
      <c r="C195" t="s">
        <v>529</v>
      </c>
      <c r="D195" t="s">
        <v>530</v>
      </c>
      <c r="E195" s="16">
        <v>49900</v>
      </c>
      <c r="F195" s="16">
        <v>29900</v>
      </c>
    </row>
    <row r="196" spans="1:6">
      <c r="A196" t="s">
        <v>531</v>
      </c>
      <c r="B196">
        <v>8859845000032</v>
      </c>
      <c r="C196" t="s">
        <v>532</v>
      </c>
      <c r="D196" t="s">
        <v>533</v>
      </c>
      <c r="E196" s="16">
        <v>6490</v>
      </c>
      <c r="F196" s="16">
        <v>3850</v>
      </c>
    </row>
    <row r="197" spans="1:6">
      <c r="A197" t="s">
        <v>534</v>
      </c>
      <c r="B197">
        <v>8859845000049</v>
      </c>
      <c r="C197" t="s">
        <v>535</v>
      </c>
      <c r="D197" t="s">
        <v>536</v>
      </c>
      <c r="E197" s="16">
        <v>8090</v>
      </c>
      <c r="F197" s="16">
        <v>4850</v>
      </c>
    </row>
    <row r="198" spans="1:6">
      <c r="A198" t="s">
        <v>537</v>
      </c>
      <c r="B198">
        <v>8859845000056</v>
      </c>
      <c r="C198" t="s">
        <v>538</v>
      </c>
      <c r="D198" t="s">
        <v>539</v>
      </c>
      <c r="E198" s="16">
        <v>9790</v>
      </c>
      <c r="F198" s="16">
        <v>5850</v>
      </c>
    </row>
    <row r="199" spans="1:6">
      <c r="A199" t="s">
        <v>540</v>
      </c>
      <c r="B199">
        <v>8859845000919</v>
      </c>
      <c r="C199" t="s">
        <v>541</v>
      </c>
      <c r="D199" t="s">
        <v>542</v>
      </c>
      <c r="E199" s="16">
        <v>19900</v>
      </c>
      <c r="F199" s="16">
        <v>13900</v>
      </c>
    </row>
    <row r="200" spans="1:6">
      <c r="A200" t="s">
        <v>543</v>
      </c>
      <c r="B200">
        <v>8859845000926</v>
      </c>
      <c r="C200" t="s">
        <v>544</v>
      </c>
      <c r="D200" t="s">
        <v>545</v>
      </c>
      <c r="E200" s="16">
        <v>27000</v>
      </c>
      <c r="F200" s="16">
        <v>18900</v>
      </c>
    </row>
    <row r="201" spans="1:6">
      <c r="A201" t="s">
        <v>546</v>
      </c>
      <c r="B201">
        <v>8859845000933</v>
      </c>
      <c r="C201" t="s">
        <v>547</v>
      </c>
      <c r="D201" t="s">
        <v>548</v>
      </c>
      <c r="E201" s="16">
        <v>31900</v>
      </c>
      <c r="F201" s="16">
        <v>21900</v>
      </c>
    </row>
    <row r="202" spans="1:6">
      <c r="A202" t="s">
        <v>549</v>
      </c>
      <c r="B202">
        <v>8859845001770</v>
      </c>
      <c r="C202" t="s">
        <v>550</v>
      </c>
      <c r="D202" t="s">
        <v>551</v>
      </c>
      <c r="E202" s="16">
        <v>29990</v>
      </c>
      <c r="F202" s="16">
        <v>19900</v>
      </c>
    </row>
    <row r="203" spans="1:6">
      <c r="A203" t="s">
        <v>552</v>
      </c>
      <c r="B203">
        <v>8859845001787</v>
      </c>
      <c r="C203" t="s">
        <v>553</v>
      </c>
      <c r="D203" t="s">
        <v>554</v>
      </c>
      <c r="E203" s="16">
        <v>29990</v>
      </c>
      <c r="F203" s="16">
        <v>19900</v>
      </c>
    </row>
    <row r="204" spans="1:6">
      <c r="A204" t="s">
        <v>555</v>
      </c>
      <c r="B204">
        <v>8859845001794</v>
      </c>
      <c r="C204" t="s">
        <v>556</v>
      </c>
      <c r="D204" t="s">
        <v>557</v>
      </c>
      <c r="E204" s="16">
        <v>24490</v>
      </c>
      <c r="F204" s="16">
        <v>15900</v>
      </c>
    </row>
    <row r="205" spans="1:6">
      <c r="A205" t="s">
        <v>558</v>
      </c>
      <c r="B205">
        <v>8859845001800</v>
      </c>
      <c r="C205" t="s">
        <v>559</v>
      </c>
      <c r="D205" t="s">
        <v>560</v>
      </c>
      <c r="E205" s="16">
        <v>24490</v>
      </c>
      <c r="F205" s="16">
        <v>15900</v>
      </c>
    </row>
    <row r="206" spans="1:6">
      <c r="A206" t="s">
        <v>561</v>
      </c>
      <c r="B206">
        <v>8859845001817</v>
      </c>
      <c r="C206" t="s">
        <v>562</v>
      </c>
      <c r="D206" t="s">
        <v>563</v>
      </c>
      <c r="E206" s="16">
        <v>59990</v>
      </c>
      <c r="F206" s="16">
        <v>38900</v>
      </c>
    </row>
    <row r="207" spans="1:6">
      <c r="A207" t="s">
        <v>564</v>
      </c>
      <c r="B207">
        <v>8859845001824</v>
      </c>
      <c r="C207" t="s">
        <v>565</v>
      </c>
      <c r="D207" t="s">
        <v>566</v>
      </c>
      <c r="E207" s="16">
        <v>10690</v>
      </c>
      <c r="F207" s="16">
        <v>6900</v>
      </c>
    </row>
    <row r="208" spans="1:6">
      <c r="A208" t="s">
        <v>567</v>
      </c>
      <c r="B208">
        <v>8859845001831</v>
      </c>
      <c r="C208" t="s">
        <v>568</v>
      </c>
      <c r="D208" t="s">
        <v>569</v>
      </c>
      <c r="E208" s="16">
        <v>10690</v>
      </c>
      <c r="F208" s="16">
        <v>6900</v>
      </c>
    </row>
    <row r="209" spans="1:6">
      <c r="A209" t="s">
        <v>570</v>
      </c>
      <c r="B209">
        <v>8859845001848</v>
      </c>
      <c r="C209" t="s">
        <v>571</v>
      </c>
      <c r="D209" t="s">
        <v>572</v>
      </c>
      <c r="E209">
        <v>1</v>
      </c>
      <c r="F209">
        <v>1</v>
      </c>
    </row>
    <row r="210" spans="1:6">
      <c r="A210" t="s">
        <v>573</v>
      </c>
      <c r="B210">
        <v>8859845001855</v>
      </c>
      <c r="C210" t="s">
        <v>574</v>
      </c>
      <c r="D210" t="s">
        <v>575</v>
      </c>
      <c r="E210">
        <v>1</v>
      </c>
      <c r="F210">
        <v>1</v>
      </c>
    </row>
    <row r="211" spans="1:6">
      <c r="A211" t="s">
        <v>576</v>
      </c>
      <c r="B211">
        <v>8859845001862</v>
      </c>
      <c r="C211" t="s">
        <v>577</v>
      </c>
      <c r="D211" t="s">
        <v>578</v>
      </c>
      <c r="E211" s="16">
        <v>15290</v>
      </c>
      <c r="F211" s="16">
        <v>9900</v>
      </c>
    </row>
    <row r="212" spans="1:6">
      <c r="A212" t="s">
        <v>579</v>
      </c>
      <c r="B212">
        <v>8859845001879</v>
      </c>
      <c r="C212" t="s">
        <v>580</v>
      </c>
      <c r="D212" t="s">
        <v>581</v>
      </c>
      <c r="E212" s="16">
        <v>15290</v>
      </c>
      <c r="F212" s="16">
        <v>9900</v>
      </c>
    </row>
    <row r="213" spans="1:6">
      <c r="A213" t="s">
        <v>582</v>
      </c>
      <c r="B213">
        <v>8859845001886</v>
      </c>
      <c r="C213" t="s">
        <v>583</v>
      </c>
      <c r="D213" t="s">
        <v>584</v>
      </c>
      <c r="E213" s="16">
        <v>15290</v>
      </c>
      <c r="F213" s="16">
        <v>9900</v>
      </c>
    </row>
    <row r="214" spans="1:6">
      <c r="A214" t="s">
        <v>585</v>
      </c>
      <c r="B214">
        <v>8859845001893</v>
      </c>
      <c r="C214" t="s">
        <v>586</v>
      </c>
      <c r="D214" t="s">
        <v>587</v>
      </c>
      <c r="E214" s="16">
        <v>2790</v>
      </c>
      <c r="F214" s="16">
        <v>1790</v>
      </c>
    </row>
    <row r="215" spans="1:6">
      <c r="A215" t="s">
        <v>588</v>
      </c>
      <c r="B215">
        <v>8859845001909</v>
      </c>
      <c r="C215" t="s">
        <v>589</v>
      </c>
      <c r="D215" t="s">
        <v>590</v>
      </c>
      <c r="E215" s="16">
        <v>2790</v>
      </c>
      <c r="F215" s="16">
        <v>1790</v>
      </c>
    </row>
    <row r="216" spans="1:6">
      <c r="A216" t="s">
        <v>591</v>
      </c>
      <c r="B216">
        <v>8859845001916</v>
      </c>
      <c r="C216" t="s">
        <v>592</v>
      </c>
      <c r="D216" t="s">
        <v>593</v>
      </c>
      <c r="E216" s="16">
        <v>2990</v>
      </c>
      <c r="F216" s="16">
        <v>1990</v>
      </c>
    </row>
    <row r="217" spans="1:6">
      <c r="A217" t="s">
        <v>594</v>
      </c>
      <c r="B217">
        <v>8859845001923</v>
      </c>
      <c r="C217" t="s">
        <v>595</v>
      </c>
      <c r="D217" t="s">
        <v>596</v>
      </c>
      <c r="E217" s="16">
        <v>2990</v>
      </c>
      <c r="F217" s="16">
        <v>1990</v>
      </c>
    </row>
    <row r="218" spans="1:6">
      <c r="A218" t="s">
        <v>597</v>
      </c>
      <c r="B218">
        <v>8859845001930</v>
      </c>
      <c r="C218" t="s">
        <v>598</v>
      </c>
      <c r="D218" t="s">
        <v>599</v>
      </c>
      <c r="E218">
        <v>1190</v>
      </c>
      <c r="F218">
        <v>790</v>
      </c>
    </row>
    <row r="219" spans="1:6">
      <c r="A219" t="s">
        <v>600</v>
      </c>
      <c r="B219">
        <v>8859845001947</v>
      </c>
      <c r="C219" t="s">
        <v>601</v>
      </c>
      <c r="D219" t="s">
        <v>602</v>
      </c>
      <c r="E219">
        <v>1990</v>
      </c>
      <c r="F219">
        <v>1390</v>
      </c>
    </row>
    <row r="220" spans="1:6">
      <c r="A220" t="s">
        <v>628</v>
      </c>
      <c r="D220" t="s">
        <v>603</v>
      </c>
    </row>
    <row r="221" spans="1:6">
      <c r="A221" t="s">
        <v>628</v>
      </c>
      <c r="D221" t="s">
        <v>604</v>
      </c>
    </row>
    <row r="222" spans="1:6">
      <c r="A222" t="s">
        <v>628</v>
      </c>
      <c r="D222" t="s">
        <v>605</v>
      </c>
    </row>
    <row r="223" spans="1:6">
      <c r="A223" t="s">
        <v>628</v>
      </c>
      <c r="D223" t="s">
        <v>606</v>
      </c>
    </row>
    <row r="224" spans="1:6">
      <c r="A224" t="s">
        <v>628</v>
      </c>
      <c r="D224" t="s">
        <v>607</v>
      </c>
    </row>
    <row r="225" spans="1:6">
      <c r="A225" t="s">
        <v>628</v>
      </c>
      <c r="D225" t="s">
        <v>647</v>
      </c>
    </row>
    <row r="226" spans="1:6">
      <c r="A226" t="s">
        <v>628</v>
      </c>
      <c r="D226" t="s">
        <v>648</v>
      </c>
    </row>
    <row r="227" spans="1:6">
      <c r="A227" t="s">
        <v>628</v>
      </c>
      <c r="D227" t="s">
        <v>649</v>
      </c>
    </row>
    <row r="228" spans="1:6">
      <c r="A228" t="s">
        <v>628</v>
      </c>
      <c r="D228" t="s">
        <v>650</v>
      </c>
    </row>
    <row r="229" spans="1:6">
      <c r="A229" t="s">
        <v>628</v>
      </c>
      <c r="D229" t="s">
        <v>651</v>
      </c>
    </row>
    <row r="230" spans="1:6">
      <c r="A230" t="s">
        <v>628</v>
      </c>
      <c r="D230" t="s">
        <v>652</v>
      </c>
    </row>
    <row r="231" spans="1:6">
      <c r="A231" t="s">
        <v>628</v>
      </c>
      <c r="D231" t="s">
        <v>653</v>
      </c>
    </row>
    <row r="232" spans="1:6">
      <c r="A232" t="s">
        <v>654</v>
      </c>
      <c r="B232">
        <v>8859845003545</v>
      </c>
      <c r="C232" t="s">
        <v>655</v>
      </c>
      <c r="D232" t="s">
        <v>656</v>
      </c>
      <c r="E232" s="16">
        <v>5490</v>
      </c>
      <c r="F232" s="16">
        <v>3290</v>
      </c>
    </row>
    <row r="233" spans="1:6">
      <c r="A233" t="s">
        <v>657</v>
      </c>
      <c r="B233">
        <v>8859845003552</v>
      </c>
      <c r="C233" t="s">
        <v>658</v>
      </c>
      <c r="D233" t="s">
        <v>659</v>
      </c>
      <c r="E233" s="16">
        <v>5490</v>
      </c>
      <c r="F233" s="16">
        <v>3290</v>
      </c>
    </row>
    <row r="234" spans="1:6">
      <c r="A234" t="s">
        <v>660</v>
      </c>
      <c r="B234">
        <v>8859845003569</v>
      </c>
      <c r="C234" t="s">
        <v>661</v>
      </c>
      <c r="D234" t="s">
        <v>662</v>
      </c>
      <c r="E234" s="16">
        <v>9990</v>
      </c>
      <c r="F234" s="16">
        <v>5990</v>
      </c>
    </row>
    <row r="235" spans="1:6">
      <c r="A235" t="s">
        <v>663</v>
      </c>
      <c r="B235">
        <v>8859845003576</v>
      </c>
      <c r="C235" t="s">
        <v>664</v>
      </c>
      <c r="D235" t="s">
        <v>665</v>
      </c>
      <c r="E235" s="16">
        <v>9990</v>
      </c>
      <c r="F235" s="16">
        <v>5990</v>
      </c>
    </row>
    <row r="236" spans="1:6">
      <c r="A236" t="s">
        <v>666</v>
      </c>
      <c r="B236">
        <v>8859845003507</v>
      </c>
      <c r="C236" t="s">
        <v>667</v>
      </c>
      <c r="D236" t="s">
        <v>668</v>
      </c>
      <c r="E236" s="16">
        <v>1490</v>
      </c>
      <c r="F236">
        <v>890</v>
      </c>
    </row>
    <row r="237" spans="1:6">
      <c r="A237" t="s">
        <v>669</v>
      </c>
      <c r="B237">
        <v>8859845003514</v>
      </c>
      <c r="C237" t="s">
        <v>670</v>
      </c>
      <c r="D237" t="s">
        <v>671</v>
      </c>
      <c r="E237" s="16">
        <v>1490</v>
      </c>
      <c r="F237">
        <v>890</v>
      </c>
    </row>
    <row r="238" spans="1:6">
      <c r="A238" t="s">
        <v>672</v>
      </c>
      <c r="B238">
        <v>8859845003521</v>
      </c>
      <c r="C238" t="s">
        <v>673</v>
      </c>
      <c r="D238" t="s">
        <v>674</v>
      </c>
      <c r="E238" s="16">
        <v>2690</v>
      </c>
      <c r="F238" s="16">
        <v>1590</v>
      </c>
    </row>
    <row r="239" spans="1:6">
      <c r="A239" t="s">
        <v>675</v>
      </c>
      <c r="B239">
        <v>8859845003538</v>
      </c>
      <c r="C239" t="s">
        <v>676</v>
      </c>
      <c r="D239" t="s">
        <v>677</v>
      </c>
      <c r="E239" s="16">
        <v>2690</v>
      </c>
      <c r="F239" s="16">
        <v>1590</v>
      </c>
    </row>
    <row r="240" spans="1:6">
      <c r="A240" t="s">
        <v>678</v>
      </c>
      <c r="B240">
        <v>8859845003583</v>
      </c>
      <c r="C240" t="s">
        <v>679</v>
      </c>
      <c r="D240" t="s">
        <v>680</v>
      </c>
      <c r="E240">
        <v>650</v>
      </c>
      <c r="F240">
        <v>390</v>
      </c>
    </row>
    <row r="241" spans="1:6">
      <c r="A241" t="s">
        <v>681</v>
      </c>
      <c r="B241">
        <v>8859845003590</v>
      </c>
      <c r="C241" t="s">
        <v>682</v>
      </c>
      <c r="D241" t="s">
        <v>683</v>
      </c>
      <c r="E241">
        <v>650</v>
      </c>
      <c r="F241">
        <v>390</v>
      </c>
    </row>
    <row r="242" spans="1:6">
      <c r="A242" t="s">
        <v>684</v>
      </c>
      <c r="B242">
        <v>8859845003491</v>
      </c>
      <c r="C242" t="s">
        <v>685</v>
      </c>
      <c r="D242" t="s">
        <v>686</v>
      </c>
      <c r="E242" s="16">
        <v>2690</v>
      </c>
      <c r="F242" s="16">
        <v>1690</v>
      </c>
    </row>
    <row r="243" spans="1:6">
      <c r="A243" t="s">
        <v>687</v>
      </c>
      <c r="B243">
        <v>8859845003606</v>
      </c>
      <c r="C243" t="s">
        <v>688</v>
      </c>
      <c r="D243" t="s">
        <v>689</v>
      </c>
      <c r="E243" s="16">
        <v>24900</v>
      </c>
      <c r="F243" s="16">
        <v>14900</v>
      </c>
    </row>
    <row r="244" spans="1:6">
      <c r="A244" t="s">
        <v>690</v>
      </c>
      <c r="B244">
        <v>8859845003613</v>
      </c>
      <c r="C244" t="s">
        <v>691</v>
      </c>
      <c r="D244" t="s">
        <v>692</v>
      </c>
      <c r="E244" s="16">
        <v>24900</v>
      </c>
      <c r="F244" s="16">
        <v>14900</v>
      </c>
    </row>
    <row r="245" spans="1:6">
      <c r="A245" t="s">
        <v>693</v>
      </c>
      <c r="B245">
        <v>8859845003620</v>
      </c>
      <c r="C245" t="s">
        <v>694</v>
      </c>
      <c r="D245" t="s">
        <v>695</v>
      </c>
      <c r="E245" s="16">
        <v>29900</v>
      </c>
      <c r="F245" s="16">
        <v>17900</v>
      </c>
    </row>
    <row r="246" spans="1:6">
      <c r="A246" t="s">
        <v>696</v>
      </c>
      <c r="B246">
        <v>8859845003460</v>
      </c>
      <c r="C246" t="s">
        <v>697</v>
      </c>
      <c r="D246" t="s">
        <v>698</v>
      </c>
      <c r="E246" s="16">
        <v>13900</v>
      </c>
      <c r="F246" s="16">
        <v>7990</v>
      </c>
    </row>
    <row r="247" spans="1:6">
      <c r="A247" t="s">
        <v>699</v>
      </c>
      <c r="B247">
        <v>8859845003477</v>
      </c>
      <c r="C247" t="s">
        <v>700</v>
      </c>
      <c r="D247" t="s">
        <v>701</v>
      </c>
      <c r="E247" s="16">
        <v>16900</v>
      </c>
      <c r="F247" s="16">
        <v>9900</v>
      </c>
    </row>
    <row r="248" spans="1:6">
      <c r="A248" t="s">
        <v>702</v>
      </c>
      <c r="B248">
        <v>8859845003484</v>
      </c>
      <c r="C248" t="s">
        <v>703</v>
      </c>
      <c r="D248" t="s">
        <v>704</v>
      </c>
      <c r="E248" s="16">
        <v>18900</v>
      </c>
      <c r="F248" s="16">
        <v>10900</v>
      </c>
    </row>
    <row r="249" spans="1:6">
      <c r="A249" t="s">
        <v>705</v>
      </c>
      <c r="B249">
        <v>8859845003750</v>
      </c>
      <c r="C249" t="s">
        <v>706</v>
      </c>
      <c r="D249" t="s">
        <v>707</v>
      </c>
      <c r="E249" s="16">
        <v>21900</v>
      </c>
      <c r="F249" s="16">
        <v>14900</v>
      </c>
    </row>
    <row r="250" spans="1:6">
      <c r="A250" t="s">
        <v>708</v>
      </c>
      <c r="B250">
        <v>8859845003767</v>
      </c>
      <c r="C250" t="s">
        <v>709</v>
      </c>
      <c r="D250" t="s">
        <v>710</v>
      </c>
      <c r="E250" s="16">
        <v>28900</v>
      </c>
      <c r="F250" s="16">
        <v>17900</v>
      </c>
    </row>
    <row r="251" spans="1:6">
      <c r="A251" t="s">
        <v>711</v>
      </c>
      <c r="B251">
        <v>8859845003774</v>
      </c>
      <c r="C251" t="s">
        <v>712</v>
      </c>
      <c r="D251" t="s">
        <v>713</v>
      </c>
      <c r="E251" s="16">
        <v>20900</v>
      </c>
      <c r="F251" s="16">
        <v>12900</v>
      </c>
    </row>
    <row r="252" spans="1:6">
      <c r="A252" t="s">
        <v>714</v>
      </c>
      <c r="B252">
        <v>8859845003781</v>
      </c>
      <c r="C252" t="s">
        <v>715</v>
      </c>
      <c r="D252" t="s">
        <v>716</v>
      </c>
      <c r="E252" s="16">
        <v>20900</v>
      </c>
      <c r="F252" s="16">
        <v>12900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Stock</vt:lpstr>
      <vt:lpstr>Event</vt:lpstr>
      <vt:lpstr>C.Stock</vt:lpstr>
      <vt:lpstr>C.Demo</vt:lpstr>
      <vt:lpstr>Ref</vt:lpstr>
      <vt:lpstr>Event!Print_Area</vt:lpstr>
      <vt:lpstr>Stock!Print_Area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Pronnamin Choochana</dc:creator>
  <cp:keywords/>
  <dc:description/>
  <cp:lastModifiedBy>Thanasak Thaweechai</cp:lastModifiedBy>
  <cp:revision/>
  <dcterms:created xsi:type="dcterms:W3CDTF">2015-06-05T18:17:20Z</dcterms:created>
  <dcterms:modified xsi:type="dcterms:W3CDTF">2026-07-22T06:13:42Z</dcterms:modified>
  <cp:category/>
  <cp:contentStatus/>
</cp:coreProperties>
</file>